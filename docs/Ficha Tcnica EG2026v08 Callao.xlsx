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8_{6F7E7685-3479-4403-9BC1-8F9F21B09F8B}" xr6:coauthVersionLast="47" xr6:coauthVersionMax="47" xr10:uidLastSave="{00000000-0000-0000-0000-000000000000}"/>
  <bookViews>
    <workbookView xWindow="-120" yWindow="-120" windowWidth="29040" windowHeight="15720" tabRatio="610" xr2:uid="{00000000-000D-0000-FFFF-FFFF00000000}"/>
  </bookViews>
  <sheets>
    <sheet name="LOCALES" sheetId="4" r:id="rId1"/>
  </sheets>
  <definedNames>
    <definedName name="_xlnm._FilterDatabase" localSheetId="0" hidden="1">LOCALES!$A$9:$T$274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4" l="1"/>
  <c r="T10" i="4"/>
  <c r="S11" i="4"/>
  <c r="T11" i="4"/>
  <c r="S12" i="4"/>
  <c r="T12" i="4"/>
  <c r="S13" i="4"/>
  <c r="T13" i="4"/>
  <c r="S14" i="4"/>
  <c r="T14" i="4"/>
  <c r="S15" i="4"/>
  <c r="T15" i="4"/>
  <c r="S16" i="4"/>
  <c r="T16" i="4"/>
  <c r="S17" i="4"/>
  <c r="T17" i="4"/>
  <c r="S18" i="4"/>
  <c r="T18" i="4"/>
  <c r="S19" i="4"/>
  <c r="T19" i="4"/>
  <c r="S20" i="4"/>
  <c r="T20" i="4"/>
  <c r="S21" i="4"/>
  <c r="T21" i="4"/>
  <c r="S22" i="4"/>
  <c r="T22" i="4"/>
  <c r="N276" i="4"/>
  <c r="O276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81" i="4"/>
  <c r="S182" i="4"/>
  <c r="S183" i="4"/>
  <c r="S184" i="4"/>
  <c r="S185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186" i="4"/>
  <c r="S187" i="4"/>
  <c r="S188" i="4"/>
  <c r="S189" i="4"/>
  <c r="S190" i="4"/>
  <c r="S191" i="4"/>
  <c r="S192" i="4"/>
  <c r="S193" i="4"/>
  <c r="S194" i="4"/>
  <c r="T149" i="4" l="1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81" i="4"/>
  <c r="T182" i="4"/>
  <c r="T183" i="4"/>
  <c r="T184" i="4"/>
  <c r="T185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186" i="4"/>
  <c r="T187" i="4"/>
  <c r="T188" i="4"/>
  <c r="T189" i="4"/>
  <c r="T190" i="4"/>
  <c r="T191" i="4"/>
  <c r="T192" i="4"/>
  <c r="T193" i="4"/>
  <c r="T194" i="4"/>
  <c r="S276" i="4" l="1"/>
</calcChain>
</file>

<file path=xl/sharedStrings.xml><?xml version="1.0" encoding="utf-8"?>
<sst xmlns="http://schemas.openxmlformats.org/spreadsheetml/2006/main" count="3735" uniqueCount="1057">
  <si>
    <t>Electores hábiles, mesas de sufragio y locales de votación</t>
  </si>
  <si>
    <t>N°</t>
  </si>
  <si>
    <t>ODPE</t>
  </si>
  <si>
    <t>MESAS</t>
  </si>
  <si>
    <t>ELECTORES</t>
  </si>
  <si>
    <t>CALLAO</t>
  </si>
  <si>
    <t>NOMBRE ODPE</t>
  </si>
  <si>
    <t>SEDE DE ODPE</t>
  </si>
  <si>
    <t>UBIGEO</t>
  </si>
  <si>
    <t>121</t>
  </si>
  <si>
    <t>122</t>
  </si>
  <si>
    <t>123</t>
  </si>
  <si>
    <t>BELLAVISTA</t>
  </si>
  <si>
    <t>240102</t>
  </si>
  <si>
    <t>240101</t>
  </si>
  <si>
    <t>240104</t>
  </si>
  <si>
    <t>240105</t>
  </si>
  <si>
    <t>LA PERLA</t>
  </si>
  <si>
    <t>240103</t>
  </si>
  <si>
    <t>LA PUNTA</t>
  </si>
  <si>
    <t>240107</t>
  </si>
  <si>
    <t>MI PERU</t>
  </si>
  <si>
    <t>240106</t>
  </si>
  <si>
    <t>VENTANILLA</t>
  </si>
  <si>
    <t>DETALLE POR LOCAL VOTACIÓN</t>
  </si>
  <si>
    <t>ID_LOCAL</t>
  </si>
  <si>
    <t>NOMBRE DEL LOCAL</t>
  </si>
  <si>
    <t>DIRECCIÓN DEL LOCAL</t>
  </si>
  <si>
    <t>CCPP</t>
  </si>
  <si>
    <t>TIPO TECNOLOGIA</t>
  </si>
  <si>
    <t>IE JORGE BASADRE GROHMAN</t>
  </si>
  <si>
    <t>IEP MARIA ALVARADO</t>
  </si>
  <si>
    <t>IE JOSE OLAYA BALANDRA</t>
  </si>
  <si>
    <t>CALLE COMERCIO SN</t>
  </si>
  <si>
    <t>IEP NUESTRA SEÑORA DE FATIMA</t>
  </si>
  <si>
    <t>IE MANUEL SEOANE CORRALES</t>
  </si>
  <si>
    <t>17916</t>
  </si>
  <si>
    <t>UNIVERSIDAD NACIONAL DEL CALLAO</t>
  </si>
  <si>
    <t>18438</t>
  </si>
  <si>
    <t>ASOCIACION EDUCATIVA JORGE WASHINGTON</t>
  </si>
  <si>
    <t>IEP VIRGEN DEL ROSARIO</t>
  </si>
  <si>
    <t>4819</t>
  </si>
  <si>
    <t>IE 5022 FRANCISCO IZQUIERDO RIOS</t>
  </si>
  <si>
    <t>4821</t>
  </si>
  <si>
    <t>IE DORA MAYER</t>
  </si>
  <si>
    <t>PARQUE LAS AMERICAS 140</t>
  </si>
  <si>
    <t>4822</t>
  </si>
  <si>
    <t>IE GENERAL PRADO</t>
  </si>
  <si>
    <t>4823</t>
  </si>
  <si>
    <t>CALLE 72 SN</t>
  </si>
  <si>
    <t>4824</t>
  </si>
  <si>
    <t>IE 5050 SAN PEDRO</t>
  </si>
  <si>
    <t>5081</t>
  </si>
  <si>
    <t>5107</t>
  </si>
  <si>
    <t>CEBE SAN ANTONIO</t>
  </si>
  <si>
    <t>17510</t>
  </si>
  <si>
    <t>17604</t>
  </si>
  <si>
    <t>23208</t>
  </si>
  <si>
    <t>31016</t>
  </si>
  <si>
    <t>31627</t>
  </si>
  <si>
    <t>31631</t>
  </si>
  <si>
    <t>31633</t>
  </si>
  <si>
    <t>31918</t>
  </si>
  <si>
    <t>32129</t>
  </si>
  <si>
    <t>32871</t>
  </si>
  <si>
    <t>4763</t>
  </si>
  <si>
    <t>IEP NIÑO JESUS DE PRAGA</t>
  </si>
  <si>
    <t>4765</t>
  </si>
  <si>
    <t>IE 4008 NUESTRA SEÑORA DE FATIMA</t>
  </si>
  <si>
    <t>4766</t>
  </si>
  <si>
    <t>IE 4016 NESTOR GAMBETA BONATTI</t>
  </si>
  <si>
    <t>4767</t>
  </si>
  <si>
    <t>IE 4018 ABRAHAM VALDELOMAR</t>
  </si>
  <si>
    <t>4768</t>
  </si>
  <si>
    <t>4769</t>
  </si>
  <si>
    <t>4770</t>
  </si>
  <si>
    <t>IE 5005 GENERALISIMO DON JOSE DE SAN MARTIN</t>
  </si>
  <si>
    <t>4772</t>
  </si>
  <si>
    <t>IE 5007 NUESTRA SEÑORA DE GUADALUPE</t>
  </si>
  <si>
    <t>4773</t>
  </si>
  <si>
    <t>4774</t>
  </si>
  <si>
    <t>IE 5019 AUGUSTO CAZORLA</t>
  </si>
  <si>
    <t>4775</t>
  </si>
  <si>
    <t>4776</t>
  </si>
  <si>
    <t>IE 5031 CESAR VALLEJO</t>
  </si>
  <si>
    <t>4777</t>
  </si>
  <si>
    <t>IE 5033 LAS 200 MILLAS</t>
  </si>
  <si>
    <t>4778</t>
  </si>
  <si>
    <t>IE 5036 RAFAEL BELAUNDE DIEZ CANSECO</t>
  </si>
  <si>
    <t>4780</t>
  </si>
  <si>
    <t>IE 5040 PEDRO RUIZ</t>
  </si>
  <si>
    <t>4781</t>
  </si>
  <si>
    <t>IE 5042 JUAN FRANCISCO DE LA BODEGA Y QUADRA</t>
  </si>
  <si>
    <t>4782</t>
  </si>
  <si>
    <t>4783</t>
  </si>
  <si>
    <t>4784</t>
  </si>
  <si>
    <t>IE 5076 NUESTRA SEÑORA DE LAS MERCEDES</t>
  </si>
  <si>
    <t>4785</t>
  </si>
  <si>
    <t>IE 5079 JORGE CHAVEZ DARNELL</t>
  </si>
  <si>
    <t>CALLE VICTOR ANDRES BELAUNDE 100</t>
  </si>
  <si>
    <t>4786</t>
  </si>
  <si>
    <t>IE 5080 SOR ANA DE LOS ANGELES</t>
  </si>
  <si>
    <t>CALLE ALAMEDA DE LOS MISIONEROS SN</t>
  </si>
  <si>
    <t>4787</t>
  </si>
  <si>
    <t>IE 5083 SAN MARTIN DE PORRES</t>
  </si>
  <si>
    <t>4788</t>
  </si>
  <si>
    <t>IE 5084 CARLOS PHILIPS</t>
  </si>
  <si>
    <t>4789</t>
  </si>
  <si>
    <t>IE 5085 RAMIRO PRIALE PRIALE</t>
  </si>
  <si>
    <t>CALLE LOS FAISANES CUADRA 1</t>
  </si>
  <si>
    <t>4790</t>
  </si>
  <si>
    <t>4791</t>
  </si>
  <si>
    <t>4792</t>
  </si>
  <si>
    <t>4793</t>
  </si>
  <si>
    <t>IE 5126 LOS JAZMINES</t>
  </si>
  <si>
    <t>4794</t>
  </si>
  <si>
    <t>IE 5095 JULIO RAMON RIBEYRO</t>
  </si>
  <si>
    <t>4795</t>
  </si>
  <si>
    <t>IE 5023 ABELARDO GAMARRA</t>
  </si>
  <si>
    <t>4796</t>
  </si>
  <si>
    <t>IE 5074 ALCIDES SPELUCIN VEGA</t>
  </si>
  <si>
    <t>CALLE 7 SN</t>
  </si>
  <si>
    <t>4797</t>
  </si>
  <si>
    <t>4798</t>
  </si>
  <si>
    <t>IE 5049 EMMA DETTMANN DE GUTIERREZ</t>
  </si>
  <si>
    <t>CALLE RUY DIAZ 316</t>
  </si>
  <si>
    <t>4800</t>
  </si>
  <si>
    <t>IE HEROINAS TOLEDO</t>
  </si>
  <si>
    <t>4801</t>
  </si>
  <si>
    <t>4802</t>
  </si>
  <si>
    <t>4804</t>
  </si>
  <si>
    <t>4806</t>
  </si>
  <si>
    <t>4808</t>
  </si>
  <si>
    <t>IEP CRISTO REY</t>
  </si>
  <si>
    <t>4810</t>
  </si>
  <si>
    <t>4817</t>
  </si>
  <si>
    <t>5108</t>
  </si>
  <si>
    <t>5143</t>
  </si>
  <si>
    <t>IE 5139 LAS COLINAS</t>
  </si>
  <si>
    <t>5145</t>
  </si>
  <si>
    <t>IE 5089 VIRGEN MARIA</t>
  </si>
  <si>
    <t>5146</t>
  </si>
  <si>
    <t>CALLE CALIFORNIA SN</t>
  </si>
  <si>
    <t>7386</t>
  </si>
  <si>
    <t>7558</t>
  </si>
  <si>
    <t>9949</t>
  </si>
  <si>
    <t>9950</t>
  </si>
  <si>
    <t>9952</t>
  </si>
  <si>
    <t>9953</t>
  </si>
  <si>
    <t>9972</t>
  </si>
  <si>
    <t>9974</t>
  </si>
  <si>
    <t>IEP DANIEL ALCIDES CARRION</t>
  </si>
  <si>
    <t>9982</t>
  </si>
  <si>
    <t>IESPP MARIA MADRE</t>
  </si>
  <si>
    <t>4834</t>
  </si>
  <si>
    <t>IE 4015 AUGUSTO SALAZAR BONDY</t>
  </si>
  <si>
    <t>4835</t>
  </si>
  <si>
    <t>IE 5030 TNTE CRNEL LEOPOLDO PEREZ SALMON</t>
  </si>
  <si>
    <t>4836</t>
  </si>
  <si>
    <t>4837</t>
  </si>
  <si>
    <t>IE 5043 SAN MARTIN DE PORRES</t>
  </si>
  <si>
    <t>4838</t>
  </si>
  <si>
    <t>IE 5044 BANDERA DE LA PAZ</t>
  </si>
  <si>
    <t>4840</t>
  </si>
  <si>
    <t>IE RAUL PORRAS BARRENECHEA</t>
  </si>
  <si>
    <t>4841</t>
  </si>
  <si>
    <t>IE 88 CRISTO MILAGROSO</t>
  </si>
  <si>
    <t>4842</t>
  </si>
  <si>
    <t>IEP REGINA PACIS PRIMARIA</t>
  </si>
  <si>
    <t>5080</t>
  </si>
  <si>
    <t>CEBE VIRGEN DEL CARMEN</t>
  </si>
  <si>
    <t>35731</t>
  </si>
  <si>
    <t>ESTADIO CAMPOLO ALCALDE</t>
  </si>
  <si>
    <t>4845</t>
  </si>
  <si>
    <t>4848</t>
  </si>
  <si>
    <t>4849</t>
  </si>
  <si>
    <t>4850</t>
  </si>
  <si>
    <t>IE 4005 ALMIRANTE MIGUEL GRAU SEMINARIO</t>
  </si>
  <si>
    <t>4851</t>
  </si>
  <si>
    <t>CEBE LA PERLA</t>
  </si>
  <si>
    <t>4853</t>
  </si>
  <si>
    <t>4854</t>
  </si>
  <si>
    <t>4857</t>
  </si>
  <si>
    <t>9989</t>
  </si>
  <si>
    <t>4831</t>
  </si>
  <si>
    <t>4832</t>
  </si>
  <si>
    <t>5178</t>
  </si>
  <si>
    <t>35059</t>
  </si>
  <si>
    <t>IEP SAN JUAN</t>
  </si>
  <si>
    <t>4870</t>
  </si>
  <si>
    <t>4872</t>
  </si>
  <si>
    <t>4884</t>
  </si>
  <si>
    <t>IE 5098 KUMAMOTO</t>
  </si>
  <si>
    <t>5073</t>
  </si>
  <si>
    <t>10009</t>
  </si>
  <si>
    <t>10017</t>
  </si>
  <si>
    <t>10018</t>
  </si>
  <si>
    <t>10020</t>
  </si>
  <si>
    <t>10021</t>
  </si>
  <si>
    <t>10022</t>
  </si>
  <si>
    <t>10023</t>
  </si>
  <si>
    <t>10024</t>
  </si>
  <si>
    <t>10027</t>
  </si>
  <si>
    <t>10028</t>
  </si>
  <si>
    <t>10029</t>
  </si>
  <si>
    <t>10030</t>
  </si>
  <si>
    <t>10031</t>
  </si>
  <si>
    <t>10034</t>
  </si>
  <si>
    <t>CONSORCIO EDUCATIVO FEDERICO KAUFFMANN DOIG</t>
  </si>
  <si>
    <t>10036</t>
  </si>
  <si>
    <t>23238</t>
  </si>
  <si>
    <t>23241</t>
  </si>
  <si>
    <t>23244</t>
  </si>
  <si>
    <t>MZ Q2 LOTE 1 SECTOR B</t>
  </si>
  <si>
    <t>23245</t>
  </si>
  <si>
    <t>31642</t>
  </si>
  <si>
    <t>IEP MIRAMAR</t>
  </si>
  <si>
    <t>34685</t>
  </si>
  <si>
    <t>IEP GUIA DIVINA</t>
  </si>
  <si>
    <t>35698</t>
  </si>
  <si>
    <t>4859</t>
  </si>
  <si>
    <t>IE 4020 JOSE SANTOS CHOCANO</t>
  </si>
  <si>
    <t>4860</t>
  </si>
  <si>
    <t>IE 5052 VIRGEN DE LA MERCED</t>
  </si>
  <si>
    <t>4861</t>
  </si>
  <si>
    <t>IE 5053 VICTOR ANDRES BELAUNDE</t>
  </si>
  <si>
    <t>4862</t>
  </si>
  <si>
    <t>IE 5086 POLITECNICO DE VENTANILLA</t>
  </si>
  <si>
    <t>4863</t>
  </si>
  <si>
    <t>IE 5088 HEROES DEL PACIFICO</t>
  </si>
  <si>
    <t>4865</t>
  </si>
  <si>
    <t>4866</t>
  </si>
  <si>
    <t>4867</t>
  </si>
  <si>
    <t>4868</t>
  </si>
  <si>
    <t>4869</t>
  </si>
  <si>
    <t>IE FE Y ALEGRIA 29</t>
  </si>
  <si>
    <t>4871</t>
  </si>
  <si>
    <t>IE LICEO NAVAL CAPITAN DE CORBETA MANUEL CLAVERO MUGA</t>
  </si>
  <si>
    <t>4873</t>
  </si>
  <si>
    <t>IE NUESTRA SEÑORA DE BELEN</t>
  </si>
  <si>
    <t>CALLE LOS FICUS SN</t>
  </si>
  <si>
    <t>4874</t>
  </si>
  <si>
    <t>IEP SOPHIANO COLLEGE</t>
  </si>
  <si>
    <t>4875</t>
  </si>
  <si>
    <t>CALLE 3 SN</t>
  </si>
  <si>
    <t>4876</t>
  </si>
  <si>
    <t>IE 5122 JOSE ANDRES RAZURI ESTEVEZ</t>
  </si>
  <si>
    <t>CALLE LOS ECOLOGOS SN</t>
  </si>
  <si>
    <t>4877</t>
  </si>
  <si>
    <t>IE 5124 LIBERTADOR SIMON BOLIVAR DE HIROSHIMA</t>
  </si>
  <si>
    <t>4878</t>
  </si>
  <si>
    <t>IE 5094 NACIONES UNIDAS</t>
  </si>
  <si>
    <t>4879</t>
  </si>
  <si>
    <t>4880</t>
  </si>
  <si>
    <t>IE VILLA LOS REYES</t>
  </si>
  <si>
    <t>CALLE 25 SN</t>
  </si>
  <si>
    <t>4881</t>
  </si>
  <si>
    <t>4882</t>
  </si>
  <si>
    <t>4883</t>
  </si>
  <si>
    <t>5067</t>
  </si>
  <si>
    <t>IE COMUNAL ALMIRANTE MIGUEL GRAU</t>
  </si>
  <si>
    <t>5068</t>
  </si>
  <si>
    <t>IE 5130 PACHACUTEC</t>
  </si>
  <si>
    <t>5069</t>
  </si>
  <si>
    <t>IE 5129 VENCEDORES DE PACHACUTEC</t>
  </si>
  <si>
    <t>9994</t>
  </si>
  <si>
    <t>AV PERU SN</t>
  </si>
  <si>
    <t>10104</t>
  </si>
  <si>
    <t>10116</t>
  </si>
  <si>
    <t>10053</t>
  </si>
  <si>
    <t>10066</t>
  </si>
  <si>
    <t>10069</t>
  </si>
  <si>
    <t>10169</t>
  </si>
  <si>
    <t>CALLE PUNO SN</t>
  </si>
  <si>
    <t>AV DOS DE MAYO SN</t>
  </si>
  <si>
    <t>IEP BELEN SCHOOL</t>
  </si>
  <si>
    <t>IEP DIVINO MAESTRO</t>
  </si>
  <si>
    <t>CALLE TACNA SN</t>
  </si>
  <si>
    <t>IEP SAN ANTONIO DE PADUA</t>
  </si>
  <si>
    <t>CALLE 10 SN</t>
  </si>
  <si>
    <t>IEP VIRGEN DE GUADALUPE</t>
  </si>
  <si>
    <t>CALLE 4 SN</t>
  </si>
  <si>
    <t>CALLE 11 SN</t>
  </si>
  <si>
    <t>IEP NUESTRA SEÑORA DE LA ASUNCION</t>
  </si>
  <si>
    <t>IEP BLAS PASCAL</t>
  </si>
  <si>
    <t>IEP FLORA TRISTAN</t>
  </si>
  <si>
    <t>CALLE BUENOS AIRES SN</t>
  </si>
  <si>
    <t>10065</t>
  </si>
  <si>
    <t>CALLE LEONCIO PRADO SN</t>
  </si>
  <si>
    <t>IEP SEÑOR DE LOS MILAGROS</t>
  </si>
  <si>
    <t>TOTAL</t>
  </si>
  <si>
    <t>1/ DS 112-2017-PCM Reordenamiento de los ámbitos de intervención directa y de influencia del VRAEM.</t>
  </si>
  <si>
    <r>
      <t xml:space="preserve">VRAEM </t>
    </r>
    <r>
      <rPr>
        <b/>
        <vertAlign val="superscript"/>
        <sz val="9"/>
        <color theme="0"/>
        <rFont val="Arial Narrow"/>
        <family val="2"/>
      </rPr>
      <t>1/</t>
    </r>
  </si>
  <si>
    <t>JR LIMA SN</t>
  </si>
  <si>
    <t>40909</t>
  </si>
  <si>
    <t>40911</t>
  </si>
  <si>
    <t>40913</t>
  </si>
  <si>
    <t>JR TUMBES SN</t>
  </si>
  <si>
    <t>AV DANIEL ALCIDES CARRION SN</t>
  </si>
  <si>
    <t>AV ALAMEDA SN</t>
  </si>
  <si>
    <t>AV CANADA SN</t>
  </si>
  <si>
    <t>AV LA PAZ SN</t>
  </si>
  <si>
    <t>AV CUZCO SN</t>
  </si>
  <si>
    <t>JR TALARA SN</t>
  </si>
  <si>
    <t>AV OCTAVIO ESPINOZA SN URB SANTA MARINA</t>
  </si>
  <si>
    <t>AV LOS DIAMANTES SN</t>
  </si>
  <si>
    <t>AV PROCERES SN</t>
  </si>
  <si>
    <t>JR AREQUIPA NORTE 143</t>
  </si>
  <si>
    <t>AV REPUBLICA DE PANAMA 753</t>
  </si>
  <si>
    <t>AV VILLA JOSEFINA SN</t>
  </si>
  <si>
    <t>JR VICTOR ESPINOZA SN</t>
  </si>
  <si>
    <t>CALLE ROMULO ASERETTO SN MZ K URB FUNDO CHALACA</t>
  </si>
  <si>
    <t>JR CALIFORNIA 280</t>
  </si>
  <si>
    <t>AV JUAN PABLO II 306</t>
  </si>
  <si>
    <t>AV JUAN PABLO II SN</t>
  </si>
  <si>
    <t>JR NICOLAS DE PIEROLA 110</t>
  </si>
  <si>
    <t>CALLE 58 MZ Q4 LOTE 1B</t>
  </si>
  <si>
    <t>JR VICTOR ANDRES BELAUNDE CUADRA 1 SN</t>
  </si>
  <si>
    <t>JR ANGEL QUISPE 350</t>
  </si>
  <si>
    <t>AV LOPEZ PAZOS 203</t>
  </si>
  <si>
    <t>JR LORETO SN</t>
  </si>
  <si>
    <t>AV LOPEZ PAZOS 803</t>
  </si>
  <si>
    <t>JR JORGE CHAVEZ 600</t>
  </si>
  <si>
    <t>JR INDEPENDENCIA 199</t>
  </si>
  <si>
    <t>AV LOPEZ PAZOS 851</t>
  </si>
  <si>
    <t>AV SANTA ROSA 448</t>
  </si>
  <si>
    <t>AV LA PAZ 1000</t>
  </si>
  <si>
    <t>JR ATAHUALPA CUADRA 7 SN</t>
  </si>
  <si>
    <t>CALLE JUAN J PARDO SN</t>
  </si>
  <si>
    <t>JR HUASCAR 1400</t>
  </si>
  <si>
    <t>AV ARQUITECTOS SN</t>
  </si>
  <si>
    <t>CALLE GENERAL SANTA CRUZ SN</t>
  </si>
  <si>
    <t>AV LOS GERANIOS SN</t>
  </si>
  <si>
    <t>JR CAPULI SN</t>
  </si>
  <si>
    <t>AV MERCURIO SN</t>
  </si>
  <si>
    <t>AV CABO BLANCO SN</t>
  </si>
  <si>
    <t>AV LA PLAYA SN</t>
  </si>
  <si>
    <t>AV VENUS SN</t>
  </si>
  <si>
    <t>40944</t>
  </si>
  <si>
    <t>AV PUNO SN</t>
  </si>
  <si>
    <t>AV JOSE OLAYA SN</t>
  </si>
  <si>
    <t>AV TRUJILLO SN</t>
  </si>
  <si>
    <t>IEP JOSE GALVEZ</t>
  </si>
  <si>
    <t>IE 5136 FERNANDO BELAUNDE TERRY</t>
  </si>
  <si>
    <t>IEP JUNIOR CESAR DE LOS RIOS</t>
  </si>
  <si>
    <t>CALLE 12 MZ D LT 10</t>
  </si>
  <si>
    <t>IE 5097 SAN JUAN MACIAS</t>
  </si>
  <si>
    <t>IE 4001 DOS DE MAYO</t>
  </si>
  <si>
    <t>IE PNP JUAN LINARES ROJAS</t>
  </si>
  <si>
    <t>IE 5011 DARIO ARRUS CUESTAS</t>
  </si>
  <si>
    <t>COLEGIO PARROQUIAL SANTA ANGELA MERICI</t>
  </si>
  <si>
    <t>COPRODELI SAN MARTIN</t>
  </si>
  <si>
    <t>Cap</t>
  </si>
  <si>
    <t>STAE</t>
  </si>
  <si>
    <t>UBIGEO CENTRO DE CÓMPUTO</t>
  </si>
  <si>
    <t>DISTRITO CENTRO CÓMPUTO</t>
  </si>
  <si>
    <t>CALLE MIRAMAR SN</t>
  </si>
  <si>
    <t>CALLE ANDRES AVELINO CACERES SN</t>
  </si>
  <si>
    <t>CALLE DANIEL ALCIDES CARRION MZ A SN</t>
  </si>
  <si>
    <t>AV ESTADOS UNIDOS SN</t>
  </si>
  <si>
    <t>AV ELMER FAUCETT CUADRA 7 SN</t>
  </si>
  <si>
    <t>50375</t>
  </si>
  <si>
    <t>50378</t>
  </si>
  <si>
    <t>JR GUISSE SN</t>
  </si>
  <si>
    <t>50379</t>
  </si>
  <si>
    <t>50448</t>
  </si>
  <si>
    <t>50581</t>
  </si>
  <si>
    <t>50754</t>
  </si>
  <si>
    <t>51239</t>
  </si>
  <si>
    <t>51353</t>
  </si>
  <si>
    <t>52236</t>
  </si>
  <si>
    <t>52277</t>
  </si>
  <si>
    <t>52523</t>
  </si>
  <si>
    <t>COPRODELI SAN VICENTE</t>
  </si>
  <si>
    <t>52701</t>
  </si>
  <si>
    <t>52702</t>
  </si>
  <si>
    <t>52994</t>
  </si>
  <si>
    <t>53006</t>
  </si>
  <si>
    <t>53010</t>
  </si>
  <si>
    <t>53198</t>
  </si>
  <si>
    <t>53838</t>
  </si>
  <si>
    <t>IE PNP JUAN INGUNZA VALDIVIA</t>
  </si>
  <si>
    <t>NESTOR GAMBETA MZ 66 LOTE 21-22 MARQUEZ</t>
  </si>
  <si>
    <t>SEGUNDO SECTOR A I PACHACUTEC</t>
  </si>
  <si>
    <t>AV CAMINO DEL INCA IZQUIERDO 2014</t>
  </si>
  <si>
    <t>CALLE SN MZ G LOTE 1 BARRIO 15 AHH COSMOVISION</t>
  </si>
  <si>
    <t>AV BOLIVIA SN MZ C LT 4 AAHH NUEVO PROGRESO</t>
  </si>
  <si>
    <t>MZ U LT 1 SECTOR 1 OASIS DEL AAHH OASIS DE PACHACUTEC</t>
  </si>
  <si>
    <t>CALLE SN GRUPO RESIDENCIAL 5 SECTOR F</t>
  </si>
  <si>
    <t>CALLE LOS TECNICOS SN</t>
  </si>
  <si>
    <t>AV GONZALEZ GANOZA SN 1ER SECTOR</t>
  </si>
  <si>
    <t>JR EL TUCAN SN</t>
  </si>
  <si>
    <t>IE 5051 VIRGEN DE FATIMA- SECUNDARIA</t>
  </si>
  <si>
    <t>CALLE MZ L M N LOTE 1 SECTOR A</t>
  </si>
  <si>
    <t>CALLE 15 SECTOR D</t>
  </si>
  <si>
    <t>52242</t>
  </si>
  <si>
    <t>IEP TECNOLÓGICO CONSTRUCTORES</t>
  </si>
  <si>
    <t>52271</t>
  </si>
  <si>
    <t>IEP ESCUELA HOGAR</t>
  </si>
  <si>
    <t>AV LOS ELECTRICISTAS</t>
  </si>
  <si>
    <t>52281</t>
  </si>
  <si>
    <t>IE 5150</t>
  </si>
  <si>
    <t>CALLE  SN MZ Q LOTE 1 SECTOR CERRO CACHITO-PACHACUTEC</t>
  </si>
  <si>
    <t>52705</t>
  </si>
  <si>
    <t>AV EL BIERZO SN</t>
  </si>
  <si>
    <t>52988</t>
  </si>
  <si>
    <t>53000</t>
  </si>
  <si>
    <t>AV DEL BIERZO SN</t>
  </si>
  <si>
    <t>CALLE 26 A -PARQUE SEÑOR DEL MAR SN</t>
  </si>
  <si>
    <t>51701</t>
  </si>
  <si>
    <t>52703</t>
  </si>
  <si>
    <t>INSTITUTO DE EDUCACION SUPERIOR PUBLICA SIMON BOLIVAR</t>
  </si>
  <si>
    <t>CALLE 3 402 CIUDAD DEL PESCADOR</t>
  </si>
  <si>
    <t>52869</t>
  </si>
  <si>
    <t>53005</t>
  </si>
  <si>
    <t>JARDIN MUNICIPAL LA PUNTA</t>
  </si>
  <si>
    <t>JR TOVAR SN</t>
  </si>
  <si>
    <t>53007</t>
  </si>
  <si>
    <t>CENTRO INTEGRAL DEL ADULTO MAYOR</t>
  </si>
  <si>
    <t>MALECON PARDO 125</t>
  </si>
  <si>
    <t>50337</t>
  </si>
  <si>
    <t>50399</t>
  </si>
  <si>
    <t>IEP ANTON COLLEGE</t>
  </si>
  <si>
    <t>50400</t>
  </si>
  <si>
    <t>53008</t>
  </si>
  <si>
    <t>AV LOPEZ PAZOS 380</t>
  </si>
  <si>
    <t>50566</t>
  </si>
  <si>
    <t>53174</t>
  </si>
  <si>
    <t>IE 5001 LUISA DE SABOGAL</t>
  </si>
  <si>
    <t>JR SAN MARTIN 156</t>
  </si>
  <si>
    <t>CALLE NEISER LLACSA SN</t>
  </si>
  <si>
    <t>34232</t>
  </si>
  <si>
    <t>Ext</t>
  </si>
  <si>
    <t>10060</t>
  </si>
  <si>
    <t>10178</t>
  </si>
  <si>
    <t>10052</t>
  </si>
  <si>
    <t>10166</t>
  </si>
  <si>
    <t>10158</t>
  </si>
  <si>
    <t>10130</t>
  </si>
  <si>
    <t>IEP CORAZÓN DE JESÚS</t>
  </si>
  <si>
    <t>CALLE 1 SN</t>
  </si>
  <si>
    <t>CALLE 14 SN</t>
  </si>
  <si>
    <t>10172</t>
  </si>
  <si>
    <t>CALLE YURIMAGUAS SN</t>
  </si>
  <si>
    <t>10067</t>
  </si>
  <si>
    <t>IEP LIBERTADOR SIMON BOLIVAR</t>
  </si>
  <si>
    <t>10072</t>
  </si>
  <si>
    <t>10103</t>
  </si>
  <si>
    <t>JR VICTOR FAJARDO 441</t>
  </si>
  <si>
    <t>IEP CALLAO</t>
  </si>
  <si>
    <t>CALLE SEBASTIAN BARRANCA 209</t>
  </si>
  <si>
    <t>IE PASCUAL SACO OLIVEROS</t>
  </si>
  <si>
    <t>AV ALMIRANTE MIGUEL GRAU 2010</t>
  </si>
  <si>
    <t>54819</t>
  </si>
  <si>
    <t>IEP INNOVA SCHOOLS - SEDE BELLAVISTA</t>
  </si>
  <si>
    <t>JR VICTOR FAJARDO 144</t>
  </si>
  <si>
    <t>CARMEN DE LA LEGUA - REYNOSO</t>
  </si>
  <si>
    <t>40910</t>
  </si>
  <si>
    <t>AV MORALES DUAREZ 1300</t>
  </si>
  <si>
    <t>IE 5041 NUESTRA SEÑORA DEL MONTE CARMELO</t>
  </si>
  <si>
    <t>IEP RICARDO PALMA</t>
  </si>
  <si>
    <t>JR REPÚBLICA DE SANTO DOMINGO 180</t>
  </si>
  <si>
    <t>AV PRIMERO DE MAYO 731</t>
  </si>
  <si>
    <t>IEP REGINA PACIS</t>
  </si>
  <si>
    <t>AV 1 DE MAYO</t>
  </si>
  <si>
    <t>50588</t>
  </si>
  <si>
    <t>IEP SEÑOR DE LOS MILAGROS DE VILLA</t>
  </si>
  <si>
    <t>JR REPÚBLICA DEL PERÚ 114</t>
  </si>
  <si>
    <t>IEP BARBARA D ACHILLE</t>
  </si>
  <si>
    <t>AV RAUL HAYA DE LA TORRE SN</t>
  </si>
  <si>
    <t>CEP CONCORDIA UNIVERSAL - SECUNDARIA</t>
  </si>
  <si>
    <t>IEPM COLEGIO MILITAR LEONCIO PRADO</t>
  </si>
  <si>
    <t>CEBE LUISA SOLOGUREN DE SABOGAL</t>
  </si>
  <si>
    <t>AV LA MARINA CUADRA 40 SN</t>
  </si>
  <si>
    <t>IE 5027 ARTURO TIMORAN HALTENHOF</t>
  </si>
  <si>
    <t>PJE FELIX SN</t>
  </si>
  <si>
    <t>IE 5028 SANTA RITA DE CASIA</t>
  </si>
  <si>
    <t>AV JOSE GALVEZ 102</t>
  </si>
  <si>
    <t>PJE JUAN XXIII 143</t>
  </si>
  <si>
    <t>IE PARROQUIAL SAN JOSE</t>
  </si>
  <si>
    <t>AV MARISCAL CASTILLA CUADRA 8 SN</t>
  </si>
  <si>
    <t>IEP LICEO NAVAL CAPITAN DE NAVIO GERMAN ASTETE</t>
  </si>
  <si>
    <t>AV MARISCAL CASTILLA N 943-945 Y 947</t>
  </si>
  <si>
    <t>54114</t>
  </si>
  <si>
    <t>IEP THOMAS JEFFERSON</t>
  </si>
  <si>
    <t>JR CAHUIDE 2280</t>
  </si>
  <si>
    <t>54269</t>
  </si>
  <si>
    <t>LOCAL DE EDUCACION CULTURA Y DEPORTE</t>
  </si>
  <si>
    <t>JR CAHUIDE 981</t>
  </si>
  <si>
    <t>54577</t>
  </si>
  <si>
    <t>IE PARROQUIAL VIRGEN DE LA ESPERANZA</t>
  </si>
  <si>
    <t>CALLE MADRID 156 URB LA MACARENA</t>
  </si>
  <si>
    <t>CEP CONCORDIA UNIVERSAL - PRIMARIA</t>
  </si>
  <si>
    <t>IEP SAN AGUSTIN DE LOS SAIRES</t>
  </si>
  <si>
    <t>MZ N LOTE 15 -17 ETAPA II</t>
  </si>
  <si>
    <t>17603</t>
  </si>
  <si>
    <t>COMPLEJO DEPORTIVO MUNICIPAL DANIEL CARPIO</t>
  </si>
  <si>
    <t>CALLE REAL FELIPE SN</t>
  </si>
  <si>
    <t>COMPLEJO DEPORTIVO RAMÓN CASTILLA</t>
  </si>
  <si>
    <t>17606</t>
  </si>
  <si>
    <t>ESTADIO MUNICIPAL PREVI</t>
  </si>
  <si>
    <t>CALLE LAS MORAS SN</t>
  </si>
  <si>
    <t>17922</t>
  </si>
  <si>
    <t>LOSA DEPORTIVA PARQUE LA FRATERNIDAD</t>
  </si>
  <si>
    <t>18445</t>
  </si>
  <si>
    <t>LOSA DEPORTIVA PARQUE CHIMPUM CALLAO</t>
  </si>
  <si>
    <t>18448</t>
  </si>
  <si>
    <t>COMPLEJO DEPORTIVO PARQUE ITALIA</t>
  </si>
  <si>
    <t>LOSA DEPORTIVA MIGUEL GRAU</t>
  </si>
  <si>
    <t>COMPLEJO DEPORTIVO MARQUEZ - AV NESTOR GAMBETA</t>
  </si>
  <si>
    <t>AV NESTOR GAMBETA SN</t>
  </si>
  <si>
    <t>IEP FLORENCE NIGHTINGALE</t>
  </si>
  <si>
    <t>CALLE GUSTAVO POND MUSSO MZ A LOTE 2 Y 3</t>
  </si>
  <si>
    <t>ESTADIO MARCOS CALDERON (EX LIGA DE FUTBOL INTERNA DE MARQUEZ)</t>
  </si>
  <si>
    <t>IE COPRODELI SAN MIGUEL</t>
  </si>
  <si>
    <t>IEP BELLA UNION</t>
  </si>
  <si>
    <t>CALLE HUANCAVELICA 286</t>
  </si>
  <si>
    <t>CALLE CESAR VALLEJO MZ G LT 1-5</t>
  </si>
  <si>
    <t>IE 5003 VIRGEN DE LA INMACULADA CONCEPCION</t>
  </si>
  <si>
    <t>JR ALBERTO SECADA 439</t>
  </si>
  <si>
    <t>IE 5010 VIRGEN DE GUADALUPE</t>
  </si>
  <si>
    <t>JR ZARUMILLA SN</t>
  </si>
  <si>
    <t>IE 5024 FRANCISCO MIRO QUESADA CANTUARIAS</t>
  </si>
  <si>
    <t>JR SUPE 603 URB SANTA MARINA SUR</t>
  </si>
  <si>
    <t>JR CESAR VALLEJO SN URB PLAYA RIMAC</t>
  </si>
  <si>
    <t>JR HUANCAVELICA 100 URB BELLA UNION</t>
  </si>
  <si>
    <t>IE 5046 JOSE GALVEZ EGUSQUIZA</t>
  </si>
  <si>
    <t>IE 5075 INCA GARCILAZO DE LA VEGA</t>
  </si>
  <si>
    <t>PJE 11 SN MZ X</t>
  </si>
  <si>
    <t>PJE K URB PREVI</t>
  </si>
  <si>
    <t>IE 5092 SANTA ROSA DE LIMA</t>
  </si>
  <si>
    <t>PJE K MZ G SECTOR V</t>
  </si>
  <si>
    <t>IE 5099 RICARDO PALMA</t>
  </si>
  <si>
    <t>CALLE JOSE OLAYA SN URB JORGE CHAVEZ</t>
  </si>
  <si>
    <t>CALLE SEXTA SN CUARTA ETAPA</t>
  </si>
  <si>
    <t>CALLE GAMMA SN</t>
  </si>
  <si>
    <t>CALLE 7 URB SESQUICENTENARIO</t>
  </si>
  <si>
    <t>AV MIGUEL GRAU 1176</t>
  </si>
  <si>
    <t>IE 5026 JOSE MARIA ARGUEDAS</t>
  </si>
  <si>
    <t>IE POLITECNICO NACIONAL DEL CALLAO</t>
  </si>
  <si>
    <t>IEP ALBORADA</t>
  </si>
  <si>
    <t>JR ANTONIO MIROQUESADA 1359</t>
  </si>
  <si>
    <t>JR COLON 456</t>
  </si>
  <si>
    <t>JR AREQUIPA NORTE 577</t>
  </si>
  <si>
    <t>IE 5048 MARISCAL RAMON CASTILLA</t>
  </si>
  <si>
    <t>IEP CAPITAN DE NAVIO JUAN FANNING GARCIA</t>
  </si>
  <si>
    <t>MZ H3 LOTE 12 13 14</t>
  </si>
  <si>
    <t>JR GUISSE 244</t>
  </si>
  <si>
    <t>IEP SAGRADO CORAZÓN DE JESÚS</t>
  </si>
  <si>
    <t>JR ATAHUALPA 175</t>
  </si>
  <si>
    <t>IEP SAN MARCOS DE OQUENDO</t>
  </si>
  <si>
    <t>CALLE VILLAS DE OQUENDO MZ I LT 1-4</t>
  </si>
  <si>
    <t>IEI 119 VIRGEN MARIA</t>
  </si>
  <si>
    <t>50582</t>
  </si>
  <si>
    <t>IEP SANTÍSIMA GUADALUPE</t>
  </si>
  <si>
    <t>JR LAS AGUILAS 337</t>
  </si>
  <si>
    <t>IEP SAN AGUSTIN DE OQUENDO</t>
  </si>
  <si>
    <t>AV ALEJANDRO BERTELLO BOLLATI MZ C LT 2-5</t>
  </si>
  <si>
    <t>50998</t>
  </si>
  <si>
    <t>CALLE SN MZ A URB LOS CLAVELES DE OQUENDO</t>
  </si>
  <si>
    <t>IE 4007 VIRGEN DEL PILAR</t>
  </si>
  <si>
    <t>CALLE FRANCISCO DE ZELA MZ X LOTE 1</t>
  </si>
  <si>
    <t>51216</t>
  </si>
  <si>
    <t>IEP SEÑOR DE LUREN DE OQUENDO</t>
  </si>
  <si>
    <t>CALLE SN MZ D1 LOTE 5-8</t>
  </si>
  <si>
    <t>51238</t>
  </si>
  <si>
    <t>IEP DIVINA PROVIDENCIA</t>
  </si>
  <si>
    <t>PJE PASCO MZ D LT 6</t>
  </si>
  <si>
    <t>IE PARROQUIAL MERIDIONAL SANTA ANA</t>
  </si>
  <si>
    <t>URB ALBINO HERRERA MZ E1 LOTE 8 2DA ETAPA</t>
  </si>
  <si>
    <t>CALLE PRINCIPAL MZ P LT 549 URB EL ALAMO</t>
  </si>
  <si>
    <t>51570</t>
  </si>
  <si>
    <t>COPRODELI COLEGIO MONSEÑOR DURAND</t>
  </si>
  <si>
    <t>CALLE 1 SN URB LAS 200 MILLAS</t>
  </si>
  <si>
    <t>IEP STAR TALENT PERU SCHOOL</t>
  </si>
  <si>
    <t>CALLE LAS CASTAÑAS 191-195</t>
  </si>
  <si>
    <t>52276</t>
  </si>
  <si>
    <t>CETPRO NACIONES UNIDAS</t>
  </si>
  <si>
    <t>JR COLON 152</t>
  </si>
  <si>
    <t>IEP DIVINO CAUTIVO</t>
  </si>
  <si>
    <t>CALLE LUIS NEGREIROS MZ G LT 8</t>
  </si>
  <si>
    <t>IEP SAGRADO NIÑO JESUS CHAPERITO</t>
  </si>
  <si>
    <t>CALLE SANTA ELENA MZ G LOTE 14 - 19</t>
  </si>
  <si>
    <t>IEP NIÑO JESUS MARISCAL CHAPERITO</t>
  </si>
  <si>
    <t>CALLE PACASMAYO 4737 URB JORGE CHAVEZ</t>
  </si>
  <si>
    <t>52992</t>
  </si>
  <si>
    <t>IEP VIRGEN DE CHAPI - SECUNDARIA</t>
  </si>
  <si>
    <t>CALLE 5 MZ N LOTE 13 URB LOS JAZMINES</t>
  </si>
  <si>
    <t>52993</t>
  </si>
  <si>
    <t>IEP VIRGEN DE CHAPI DE LOS JAZMINES</t>
  </si>
  <si>
    <t>PJE 13 MZ P LOTE 22</t>
  </si>
  <si>
    <t>IEP JEAN CALVIN LEFRANC</t>
  </si>
  <si>
    <t>CALLE ROSALES MZ C LT 12</t>
  </si>
  <si>
    <t>52998</t>
  </si>
  <si>
    <t>JR AYACUCHO 978</t>
  </si>
  <si>
    <t>IEP JUANITO BOSCO</t>
  </si>
  <si>
    <t>AV VICTOR ANDRES BELAUNDE MZ D LT 3</t>
  </si>
  <si>
    <t>53009</t>
  </si>
  <si>
    <t>IEP LOS OLIVOS</t>
  </si>
  <si>
    <t>JR ALAMOS MZ G LT 18 Y 19</t>
  </si>
  <si>
    <t>IE PARROQUIAL SAN JUAN BAUTISTA</t>
  </si>
  <si>
    <t>CALLE SAN JUAN BAUTISTA MZ 108 LT 6</t>
  </si>
  <si>
    <t>IE 5143 ESCUELA DE TALENTOS</t>
  </si>
  <si>
    <t>AV 2 DE MAYO CON ESQUINA JR MONTEAGUDO</t>
  </si>
  <si>
    <t>UNIVERSIDAD NACIONAL FEDERICO VILLARREAL  LOCAL F01L01</t>
  </si>
  <si>
    <t>CALLE CAMELIAS SN</t>
  </si>
  <si>
    <t>53841</t>
  </si>
  <si>
    <t>IEI 101 NIÑITOS DE SANTA CRUZ</t>
  </si>
  <si>
    <t>PSJE 28 DE JULIO SN MZ L</t>
  </si>
  <si>
    <t>53894</t>
  </si>
  <si>
    <t>AV QUILCA CUADRA MZ C1 LT6</t>
  </si>
  <si>
    <t>54074</t>
  </si>
  <si>
    <t>IE 4006 SANTA ROSA DE AMERICA</t>
  </si>
  <si>
    <t>CALLE SN URB RENOVACION PALOMINO</t>
  </si>
  <si>
    <t>54115</t>
  </si>
  <si>
    <t>IEP TERESA MONTERO SIVERONI</t>
  </si>
  <si>
    <t>JR HUACHO 195 URB SANTA MARINA</t>
  </si>
  <si>
    <t>54137</t>
  </si>
  <si>
    <t>COPRODELI AGUSTIN DE HIPONA</t>
  </si>
  <si>
    <t>PASAJE SN</t>
  </si>
  <si>
    <t>54163</t>
  </si>
  <si>
    <t>JR EL ROBLE 326</t>
  </si>
  <si>
    <t>54239</t>
  </si>
  <si>
    <t>IEP ANGELES DE FATIMA</t>
  </si>
  <si>
    <t>AV FRANCISCO FORCELLEDO 100</t>
  </si>
  <si>
    <t>54315</t>
  </si>
  <si>
    <t>IEP NUESTRA SEÑORA DEL ROSARIO - INICIAL</t>
  </si>
  <si>
    <t>CALLE 4 MZ Y LOTE 30</t>
  </si>
  <si>
    <t>54316</t>
  </si>
  <si>
    <t>IEP GRUMETE MEDINA</t>
  </si>
  <si>
    <t>JR WASHIGNTON 248</t>
  </si>
  <si>
    <t>54527</t>
  </si>
  <si>
    <t>COMPLEJO DEPORTIVO MARQUEZ - CALLE TACNA</t>
  </si>
  <si>
    <t>54528</t>
  </si>
  <si>
    <t>COMPLEJO DEPORTIVO MARQUEZ - CALLE 7</t>
  </si>
  <si>
    <t>CALLE 7 AAHH MARQUEZ</t>
  </si>
  <si>
    <t>54529</t>
  </si>
  <si>
    <t>LOSA DEPORTIVA PARQUE LOS ESTIBADORES</t>
  </si>
  <si>
    <t>54530</t>
  </si>
  <si>
    <t>LOSA DEPORTIVA PARQUE ORMINDO VELA REATEGUI</t>
  </si>
  <si>
    <t>54531</t>
  </si>
  <si>
    <t>LOSA DEPORTIVA PARQUE GERARDO MILLONES</t>
  </si>
  <si>
    <t>54567</t>
  </si>
  <si>
    <t>IEP SAN LAZARO MATER MISERICORDIAE</t>
  </si>
  <si>
    <t>COOP ALBINO HERRERA ETAPA 1 MZ H LT 20-21</t>
  </si>
  <si>
    <t>54580</t>
  </si>
  <si>
    <t>LOSA DEPORTIVA JUAN VELASCO ALVARADO</t>
  </si>
  <si>
    <t>54600</t>
  </si>
  <si>
    <t>IE PRITE CALLAO</t>
  </si>
  <si>
    <t>JR LOS HALCONES CALLE 2 MZ K URB EL CONDOR</t>
  </si>
  <si>
    <t>54603</t>
  </si>
  <si>
    <t>MZ F LOTE 7 LAS PRADERAS DE OQUENDO</t>
  </si>
  <si>
    <t>54703</t>
  </si>
  <si>
    <t>IEP JORDAN DE JESUS</t>
  </si>
  <si>
    <t>MZ F LT 3-4 URB 200 MILLAS</t>
  </si>
  <si>
    <t>54704</t>
  </si>
  <si>
    <t>IEP SANTISIMO NOMBRE DE MARIA</t>
  </si>
  <si>
    <t>AV CUZCO MZ C LT 18-19 URB SAN JUAN MACIAS</t>
  </si>
  <si>
    <t>54705</t>
  </si>
  <si>
    <t>IEP SANTISIMO NOMBRE DE MARIA - SECUNDARIA</t>
  </si>
  <si>
    <t>AV CUZCO MZ A LT 20 URB FAUCETT</t>
  </si>
  <si>
    <t>54706</t>
  </si>
  <si>
    <t>COMPLEJO DEPORTIVO VALERIANO LÓPEZ</t>
  </si>
  <si>
    <t>54793</t>
  </si>
  <si>
    <t>IEP INNOVA SCHOOLS - CALLAO SANTA ROSA</t>
  </si>
  <si>
    <t>AV ALEJANDRO BERTELLO 553</t>
  </si>
  <si>
    <t>54820</t>
  </si>
  <si>
    <t>IEP INNOVA SCHOOLS - SEDE COLONIAL</t>
  </si>
  <si>
    <t>CALLE CONDE DE LEMOS 327 URB LA COLONIAL</t>
  </si>
  <si>
    <t>IE 5082 SARITA COLONIA</t>
  </si>
  <si>
    <t>AV RAMIRO PRIALE SN</t>
  </si>
  <si>
    <t>IEP VIRGEN DE CHAPI - PRIMARIA</t>
  </si>
  <si>
    <t>CALLE 5 MZ N LOTE 14 URB LOS JAZMINES</t>
  </si>
  <si>
    <t>9940</t>
  </si>
  <si>
    <t>9948</t>
  </si>
  <si>
    <t>IEI 117 DIVINO NIÑO</t>
  </si>
  <si>
    <t>PROL JOSE GALVEZ SN</t>
  </si>
  <si>
    <t>IE 2093 SANTA ROSA</t>
  </si>
  <si>
    <t>AV LA REGLA MZ O LOTE 4</t>
  </si>
  <si>
    <t>IE 3090 FRANCO PERUANO</t>
  </si>
  <si>
    <t>IE 4010 HERMANOS RAFAEL SAMUEL Y EMILIO MOISES GOMEZ PAQUIYAURI</t>
  </si>
  <si>
    <t>IE 4011 LA TABOADA DE LAS FRESAS</t>
  </si>
  <si>
    <t>CALLE LOS ALISOS SN URB LAS FRESAS</t>
  </si>
  <si>
    <t>9955</t>
  </si>
  <si>
    <t>IE 5037 ALMIRANTE MIGUEL GRAU</t>
  </si>
  <si>
    <t>AV HUMBERTO SANCHEZ CUZCANO SN</t>
  </si>
  <si>
    <t>9956</t>
  </si>
  <si>
    <t>IE 5078 JOSE A. QUIÑONES GONZALES</t>
  </si>
  <si>
    <t>AV LOS ALAMOS SN</t>
  </si>
  <si>
    <t>AV ALEJANDRO BERTELLO BOLLATI 494</t>
  </si>
  <si>
    <t>IE 5013 JOSE GALVEZ BARRENECHEA</t>
  </si>
  <si>
    <t>JR PARQUE JOSE GALVEZ 130</t>
  </si>
  <si>
    <t>IE PARROQUIAL CLARA COGORNO DE COGORNO</t>
  </si>
  <si>
    <t>JR AGUSTIN TOVAR SN</t>
  </si>
  <si>
    <t>COLISEO FORTUNATO MAROTTA PARODI</t>
  </si>
  <si>
    <t>JR TOVAR 350</t>
  </si>
  <si>
    <t>IE 5119 VILLA EMILIA</t>
  </si>
  <si>
    <t>IEP ELIM</t>
  </si>
  <si>
    <t>IE FE Y ALEGRIA 33</t>
  </si>
  <si>
    <t>IE 5135 LA SALLE</t>
  </si>
  <si>
    <t>53883</t>
  </si>
  <si>
    <t>IEP CIRO ALEGRIA</t>
  </si>
  <si>
    <t>AV TRUJILLO SN MZ I LT 8-22-23</t>
  </si>
  <si>
    <t>53984</t>
  </si>
  <si>
    <t>IE 5151 SAN JUAN BOSCO</t>
  </si>
  <si>
    <t>CALLE LAS FRESAS SN  MZ M LT 1</t>
  </si>
  <si>
    <t>10000</t>
  </si>
  <si>
    <t>IE 120 LAS CASUARINAS</t>
  </si>
  <si>
    <t>SECTOR C4 PACHACUTEC</t>
  </si>
  <si>
    <t>10001</t>
  </si>
  <si>
    <t>IEI 122 CARITAS FELICES</t>
  </si>
  <si>
    <t>CALLE SN MZ P LT 2 SECTOR D</t>
  </si>
  <si>
    <t>10003</t>
  </si>
  <si>
    <t>IEI 126</t>
  </si>
  <si>
    <t>MZ M LT  19 AAHH LOS LICENCIADOS PRIMER SECTOR</t>
  </si>
  <si>
    <t>10005</t>
  </si>
  <si>
    <t>IEI 132 SAGRADO CORAZON DE JESUS</t>
  </si>
  <si>
    <t>MZ C LOTE 8 PRIMER SECTOR ANGAMOS</t>
  </si>
  <si>
    <t>IEI SAN MIGUEL ARCANGEL</t>
  </si>
  <si>
    <t>IE 5096</t>
  </si>
  <si>
    <t>AV CARLOS VILLANUEVA SN ZONA 3 HIJOS DE VENTANILLA</t>
  </si>
  <si>
    <t>IE 5117 JORGE PORTOCARRERO REBAZA</t>
  </si>
  <si>
    <t>IE 5120 JOSE CARLOS MARIATEGUI LA CHIRA</t>
  </si>
  <si>
    <t>IE 5123 FRANCISCO BOLOGNESI CERVANTES</t>
  </si>
  <si>
    <t>IE 5125 CASUARINAS</t>
  </si>
  <si>
    <t>IE 5128 SAGRADO CORAZON DE MARIA</t>
  </si>
  <si>
    <t>MZ M1 LT 2 SECTOR E PACHACUTEC</t>
  </si>
  <si>
    <t>IE 5130  3 VICTOR RAUL HAYA DE LA TORRE</t>
  </si>
  <si>
    <t>AV 11 DE AGOSTO SN</t>
  </si>
  <si>
    <t>IE 5138</t>
  </si>
  <si>
    <t>AV JOSE DE SAN MARTIN MZ 03 LT 09</t>
  </si>
  <si>
    <t>IE 5140 PRESIDENTE DE LA REPUBLICA DE COLOMBIA - DR ALVARO URIBE VELEZ</t>
  </si>
  <si>
    <t>IE 5141 DIVINO MAESTRO</t>
  </si>
  <si>
    <t>IE 5142 VIRGEN DE GUADALUPE</t>
  </si>
  <si>
    <t>MZ C LOTE 01 GRUPO 2 BARRIO XV AAHH VIRGEN DE GUADALUPE</t>
  </si>
  <si>
    <t>IE 5146</t>
  </si>
  <si>
    <t>IEP ESCRITOR CESAR VALLEJO II</t>
  </si>
  <si>
    <t>17520</t>
  </si>
  <si>
    <t>IEP BEATA MATILDE TELLEZ</t>
  </si>
  <si>
    <t>MZ NS1 LT 1 - 2DO  SECTOR ANGAMOS</t>
  </si>
  <si>
    <t>18450</t>
  </si>
  <si>
    <t>CONSORCIO EDUCATIVO FEDERICO KAUFFMANN DOIG SECUNDARIA</t>
  </si>
  <si>
    <t>IE 5118 - CMDTE JUAN VALER SANDOVAL</t>
  </si>
  <si>
    <t>23239</t>
  </si>
  <si>
    <t>IE 5147</t>
  </si>
  <si>
    <t>AV LOS TOPOGRAFOS SN MZ C2 LOTE 1</t>
  </si>
  <si>
    <t>23240</t>
  </si>
  <si>
    <t>IE 5148 LAS BRISAS DE PACHACUTEC</t>
  </si>
  <si>
    <t>MZ B LOTE 1</t>
  </si>
  <si>
    <t>IE 5149</t>
  </si>
  <si>
    <t>SECTOR RESIDENCIAL 3 MZ G LT 1</t>
  </si>
  <si>
    <t>23242</t>
  </si>
  <si>
    <t>IEI 93 VIRGEN MARIA AUXILIADORA</t>
  </si>
  <si>
    <t>IE FE Y ALEGRIA 76</t>
  </si>
  <si>
    <t>30996</t>
  </si>
  <si>
    <t>IEI 125 DIVINO NIÑO JESUS</t>
  </si>
  <si>
    <t>CALLE LAS AZUCENAS SN</t>
  </si>
  <si>
    <t>31640</t>
  </si>
  <si>
    <t>IEP ANDRES BELLO DE AMC</t>
  </si>
  <si>
    <t>MZ C3 LT 13 AMPLIACION SATELITE</t>
  </si>
  <si>
    <t>MZ H2 LT 22 - 23 SECTOR I ANGAMOS</t>
  </si>
  <si>
    <t>IE 5156 ELIAS AGUIRRE</t>
  </si>
  <si>
    <t>PARCELA AAHH NUEVO PACHACUTEC MZ G4 LOTE 8</t>
  </si>
  <si>
    <t>40947</t>
  </si>
  <si>
    <t>IE 5051 VIRGEN DE FATIMA  PRIMARIA</t>
  </si>
  <si>
    <t>AV GERANIOS SN</t>
  </si>
  <si>
    <t>AV LOS GERANIOS SN CALLE 4</t>
  </si>
  <si>
    <t>AV NEPTUNO SN TERCER SECTOR</t>
  </si>
  <si>
    <t>AV B SN SECTOR II ANGAMOS</t>
  </si>
  <si>
    <t>IE 5093 ANTONIO RAYMONDI</t>
  </si>
  <si>
    <t>IE 5116 DIVINO CREADOR</t>
  </si>
  <si>
    <t>IE 5127 MARTIR JOSE OLAYA</t>
  </si>
  <si>
    <t>10026</t>
  </si>
  <si>
    <t>CALLE 11 MZ C4 LT 1 - 2 Y 11 ZONA COMERCIAL</t>
  </si>
  <si>
    <t>IE 5077 JOSE FAUSTINO SANCHEZ CARRION</t>
  </si>
  <si>
    <t>IE 5121 PEDRO PLANAS SILVA</t>
  </si>
  <si>
    <t>IEI 70 MARIA MONTESSORI</t>
  </si>
  <si>
    <t>CALLE LAS DALIAS SN</t>
  </si>
  <si>
    <t>IE HEROES DEL PACIFICO</t>
  </si>
  <si>
    <t>50302</t>
  </si>
  <si>
    <t>IE 5091 HIJOS DE GRAU</t>
  </si>
  <si>
    <t>CALLE MZ O SN HIJOS DE GRAU</t>
  </si>
  <si>
    <t>51000</t>
  </si>
  <si>
    <t>IEP SANTÍSIMO SEÑOR CAUTIVO DE AYABACA</t>
  </si>
  <si>
    <t>52211</t>
  </si>
  <si>
    <t>IE 5145  BALNEARIO</t>
  </si>
  <si>
    <t>JR APURIMAC MZ L LT 1 SECTOR 1</t>
  </si>
  <si>
    <t>52530</t>
  </si>
  <si>
    <t>IEP CRISANTOS</t>
  </si>
  <si>
    <t>CALLE HUASCAR MZ D3 LT 18 SECTOR D</t>
  </si>
  <si>
    <t>IE 4021 DANIEL ALCIDES CARRION</t>
  </si>
  <si>
    <t>IEP  SAN PEDRO NOLASCO</t>
  </si>
  <si>
    <t>52999</t>
  </si>
  <si>
    <t>AV PLAYA HERMOSA</t>
  </si>
  <si>
    <t>IEP SANTA MARIA DE PACHACUTEC</t>
  </si>
  <si>
    <t>SECTOR B MZ Y-1 LOTE 2-3-4-5</t>
  </si>
  <si>
    <t>53001</t>
  </si>
  <si>
    <t>AV LOS GERANIOS SN MZ V6 LOTE 2</t>
  </si>
  <si>
    <t>53989</t>
  </si>
  <si>
    <t>MZ M LT 13 Y 14 SECTOR C3 PACHACUTEC</t>
  </si>
  <si>
    <t>54040</t>
  </si>
  <si>
    <t>IE 5130  1 LOS LICENCIADOS</t>
  </si>
  <si>
    <t>MZ S 5 LT C 2</t>
  </si>
  <si>
    <t>54075</t>
  </si>
  <si>
    <t>IE 5152 MIGUEL GRAU  SEMINARIO</t>
  </si>
  <si>
    <t>MZ 1A LT 1 PROYECTO EL MIRADOR NUEVO PACAHACUTEC</t>
  </si>
  <si>
    <t>54284</t>
  </si>
  <si>
    <t>IEP SAN JUAN DE DIOS TODOPODEROSO</t>
  </si>
  <si>
    <t>Z D1 LT 2 Y 3 DEL 14 AL16 AH JOSE OLAYA</t>
  </si>
  <si>
    <t>54285</t>
  </si>
  <si>
    <t>IEP MATEMATICO HARRY SULLIVAN</t>
  </si>
  <si>
    <t>MZ B LT 19 AH VIRGEN DE GUADALUPE</t>
  </si>
  <si>
    <t>54286</t>
  </si>
  <si>
    <t>IE 5154 SANTIAGO ANTUNEZ DE MAYOLO</t>
  </si>
  <si>
    <t>MZ A 12 LT 1 SECTOR A PROYECTO PILOTO PACHACUTEC</t>
  </si>
  <si>
    <t>IEI 102 SEÑOR DE LOS MILAGROS</t>
  </si>
  <si>
    <t>9996</t>
  </si>
  <si>
    <t>IE 107 LOS PASTORCITOS DE FATIMA</t>
  </si>
  <si>
    <t>CALLE 5 ELIAS AGUIRRE SN</t>
  </si>
  <si>
    <t>9997</t>
  </si>
  <si>
    <t>IEI 108</t>
  </si>
  <si>
    <t>JR VÍCTOR LAVALLE TERCER SECTOR SN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</si>
  <si>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</si>
  <si>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</si>
  <si>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</si>
  <si>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</si>
  <si>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</si>
  <si>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</si>
  <si>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</si>
  <si>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</si>
  <si>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</si>
  <si>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</si>
  <si>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</si>
  <si>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</si>
  <si>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</si>
  <si>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</si>
  <si>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</si>
  <si>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</si>
  <si>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</si>
  <si>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</si>
  <si>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</si>
  <si>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</si>
  <si>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</si>
  <si>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</si>
  <si>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</si>
  <si>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</si>
  <si>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</si>
  <si>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</si>
  <si>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9941</t>
  </si>
  <si>
    <t>9942</t>
  </si>
  <si>
    <t>9943</t>
  </si>
  <si>
    <t>9944</t>
  </si>
  <si>
    <t>9945</t>
  </si>
  <si>
    <t>9946</t>
  </si>
  <si>
    <t>9947</t>
  </si>
  <si>
    <t>9951</t>
  </si>
  <si>
    <t>9954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</si>
  <si>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</si>
  <si>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</si>
  <si>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</si>
  <si>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</si>
  <si>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</si>
  <si>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</si>
  <si>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</si>
  <si>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</si>
  <si>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</si>
  <si>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</si>
  <si>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</si>
  <si>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</si>
  <si>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</si>
  <si>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</si>
  <si>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</si>
  <si>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9973</t>
  </si>
  <si>
    <t>9975</t>
  </si>
  <si>
    <t>9976</t>
  </si>
  <si>
    <t>9977</t>
  </si>
  <si>
    <t>9978</t>
  </si>
  <si>
    <t>9979</t>
  </si>
  <si>
    <t>9980</t>
  </si>
  <si>
    <t>9981</t>
  </si>
  <si>
    <t>9983</t>
  </si>
  <si>
    <t>9984</t>
  </si>
  <si>
    <t>9985</t>
  </si>
  <si>
    <t>9986</t>
  </si>
  <si>
    <t>9987</t>
  </si>
  <si>
    <t>9988</t>
  </si>
  <si>
    <t>9990</t>
  </si>
  <si>
    <t>9991</t>
  </si>
  <si>
    <t>9992</t>
  </si>
  <si>
    <t>9993</t>
  </si>
  <si>
    <t>9995</t>
  </si>
  <si>
    <t>9998</t>
  </si>
  <si>
    <t>9999</t>
  </si>
  <si>
    <t>10002</t>
  </si>
  <si>
    <t>10004</t>
  </si>
  <si>
    <t>10006</t>
  </si>
  <si>
    <t>10007</t>
  </si>
  <si>
    <t>10008</t>
  </si>
  <si>
    <t>10010</t>
  </si>
  <si>
    <t>10011</t>
  </si>
  <si>
    <t>10012</t>
  </si>
  <si>
    <t>10013</t>
  </si>
  <si>
    <t>10014</t>
  </si>
  <si>
    <t>10015</t>
  </si>
  <si>
    <t>10016</t>
  </si>
  <si>
    <t>10019</t>
  </si>
  <si>
    <t>10025</t>
  </si>
  <si>
    <t>10032</t>
  </si>
  <si>
    <t>10033</t>
  </si>
  <si>
    <t>10035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</si>
  <si>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</si>
  <si>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</si>
  <si>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</si>
  <si>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</si>
  <si>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</si>
  <si>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</si>
  <si>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</si>
  <si>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</si>
  <si>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</si>
  <si>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</si>
  <si>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</si>
  <si>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</si>
  <si>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</si>
  <si>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</si>
  <si>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</si>
  <si>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10054</t>
  </si>
  <si>
    <t>10055</t>
  </si>
  <si>
    <t>10056</t>
  </si>
  <si>
    <t>10057</t>
  </si>
  <si>
    <t>10058</t>
  </si>
  <si>
    <t>10059</t>
  </si>
  <si>
    <t>10061</t>
  </si>
  <si>
    <t>10062</t>
  </si>
  <si>
    <t>10063</t>
  </si>
  <si>
    <t>10064</t>
  </si>
  <si>
    <t>10068</t>
  </si>
  <si>
    <t>10070</t>
  </si>
  <si>
    <t>10071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</si>
  <si>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</si>
  <si>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</si>
  <si>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</si>
  <si>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</si>
  <si>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</si>
  <si>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</si>
  <si>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</si>
  <si>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</si>
  <si>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</si>
  <si>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</si>
  <si>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</si>
  <si>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</si>
  <si>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</si>
  <si>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</si>
  <si>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</si>
  <si>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</si>
  <si>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</si>
  <si>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</si>
  <si>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</si>
  <si>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</si>
  <si>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</si>
  <si>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</si>
  <si>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</si>
  <si>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</si>
  <si>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</si>
  <si>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</si>
  <si>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</si>
  <si>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</si>
  <si>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</si>
  <si>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</si>
  <si>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</si>
  <si>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</si>
  <si>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</si>
  <si>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</si>
  <si>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</si>
  <si>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</si>
  <si>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</si>
  <si>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</si>
  <si>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</si>
  <si>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</si>
  <si>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</si>
  <si>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</si>
  <si>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</si>
  <si>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</si>
  <si>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</si>
  <si>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</si>
  <si>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</si>
  <si>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</si>
  <si>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</si>
  <si>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</si>
  <si>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</si>
  <si>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</si>
  <si>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</si>
  <si>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</si>
  <si>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</si>
  <si>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</si>
  <si>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</si>
  <si>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</si>
  <si>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</si>
  <si>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</si>
  <si>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</si>
  <si>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</si>
  <si>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</si>
  <si>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</si>
  <si>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</si>
  <si>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</si>
  <si>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</si>
  <si>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</si>
  <si>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</si>
  <si>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</si>
  <si>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</si>
  <si>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</si>
  <si>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</si>
  <si>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</si>
  <si>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</si>
  <si>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</si>
  <si>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</si>
  <si>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</si>
  <si>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</si>
  <si>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</si>
  <si>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</si>
  <si>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10159</t>
  </si>
  <si>
    <t>10160</t>
  </si>
  <si>
    <t>10161</t>
  </si>
  <si>
    <t>10162</t>
  </si>
  <si>
    <t>10163</t>
  </si>
  <si>
    <t>10164</t>
  </si>
  <si>
    <t>10165</t>
  </si>
  <si>
    <t>10167</t>
  </si>
  <si>
    <t>10168</t>
  </si>
  <si>
    <t>10170</t>
  </si>
  <si>
    <t>10171</t>
  </si>
  <si>
    <t>10173</t>
  </si>
  <si>
    <t>10174</t>
  </si>
  <si>
    <t>10175</t>
  </si>
  <si>
    <t>10176</t>
  </si>
  <si>
    <t>10177</t>
  </si>
  <si>
    <t>DPTO / CONTINENTE</t>
  </si>
  <si>
    <t>PROVINCIA / PAÍS</t>
  </si>
  <si>
    <t>DISTRITO / CIUDAD</t>
  </si>
  <si>
    <t>50377</t>
  </si>
  <si>
    <t>IEP STAR TALENT PERU SCHOOL KIDS</t>
  </si>
  <si>
    <t>CALLE LAS AVELLANAS SN</t>
  </si>
  <si>
    <t>53003</t>
  </si>
  <si>
    <t>IEP DANIEL ALCIDES CARRION INICIAL</t>
  </si>
  <si>
    <t>CALLE MARIA PARADO DE BELLIDO MZ 88 LT 6-7</t>
  </si>
  <si>
    <t>CALLE CACERES SN</t>
  </si>
  <si>
    <t>JR LAS VIOLETAS SN MZ A LOTE 1</t>
  </si>
  <si>
    <t>CALLE 5 MZ 23 LT 29-30</t>
  </si>
  <si>
    <t>CALLE 5 MZ 23 LT 23-24</t>
  </si>
  <si>
    <t>AV PRINCIPAL A MZ V LT 15</t>
  </si>
  <si>
    <t>IE 5137</t>
  </si>
  <si>
    <t>CALLE 39 C AMPLIACION B</t>
  </si>
  <si>
    <t>AV PRINCIPAL SN VENTANILLA ALTA</t>
  </si>
  <si>
    <t>AV PRINCIPAL SN SECTOR A</t>
  </si>
  <si>
    <t>AV CONSTRUCTORES MZ Y LOTE 10-12-13 SECTOR II</t>
  </si>
  <si>
    <t>CALLE LOS FICUS SN MZ M LT 1</t>
  </si>
  <si>
    <t>AV HUAURA SN MZ G5 SECTOR G</t>
  </si>
  <si>
    <t>AV. VILLA SN MZ A1 LT1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</si>
</sst>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color theme="0"/>
      <name val="Arial Narrow"/>
      <family val="2"/>
    </font>
    <font>
      <b/>
      <vertAlign val="superscript"/>
      <sz val="9"/>
      <color theme="0"/>
      <name val="Arial Narrow"/>
      <family val="2"/>
    </font>
    <font>
      <sz val="8"/>
      <name val="Calibri"/>
      <family val="2"/>
      <scheme val="minor"/>
    </font>
    <font>
      <sz val="9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left" vertical="center"/>
    </xf>
    <xf numFmtId="164" fontId="5" fillId="3" borderId="6" xfId="1" applyNumberFormat="1" applyFont="1" applyFill="1" applyBorder="1" applyAlignment="1">
      <alignment horizontal="center" vertical="center"/>
    </xf>
    <xf numFmtId="164" fontId="5" fillId="3" borderId="3" xfId="1" applyNumberFormat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164" fontId="2" fillId="0" borderId="0" xfId="1" applyNumberFormat="1" applyFont="1"/>
    <xf numFmtId="0" fontId="9" fillId="4" borderId="0" xfId="1" applyFont="1" applyFill="1"/>
    <xf numFmtId="0" fontId="9" fillId="4" borderId="0" xfId="1" applyFont="1" applyFill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49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656169</xdr:colOff>
      <xdr:row>0</xdr:row>
      <xdr:rowOff>52913</xdr:rowOff>
    </xdr:from>
    <xdr:to>
      <xdr:col>11</xdr:col>
      <xdr:colOff>216179</xdr:colOff>
      <xdr:row>4</xdr:row>
      <xdr:rowOff>162448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5E327D-56C3-4FF6-BB6C-0AE6E70C3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0919" y="52913"/>
          <a:ext cx="1949727" cy="945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85"/>
  <sheetViews>
    <sheetView showGridLines="0" tabSelected="1" zoomScaleNormal="100" workbookViewId="0"/>
  </sheetViews>
  <sheetFormatPr baseColWidth="10" defaultColWidth="9.140625" defaultRowHeight="13.5" x14ac:dyDescent="0.25"/>
  <cols>
    <col min="1" max="1" width="4.7109375" style="1" customWidth="1"/>
    <col min="2" max="2" width="5.42578125" style="1" customWidth="1"/>
    <col min="3" max="3" width="18" style="1" customWidth="1"/>
    <col min="4" max="6" width="17.140625" style="1" customWidth="1"/>
    <col min="7" max="7" width="9.42578125" style="1" customWidth="1"/>
    <col min="8" max="8" width="22.28515625" style="1" customWidth="1"/>
    <col min="9" max="9" width="20.85546875" style="1" customWidth="1"/>
    <col min="10" max="10" width="26.7109375" style="1" bestFit="1" customWidth="1"/>
    <col min="11" max="11" width="9" style="1" customWidth="1"/>
    <col min="12" max="12" width="39" style="1" customWidth="1"/>
    <col min="13" max="13" width="29.140625" style="1" customWidth="1"/>
    <col min="14" max="14" width="11" style="1" customWidth="1"/>
    <col min="15" max="15" width="11.5703125" style="1" customWidth="1"/>
    <col min="16" max="16" width="33.140625" style="1" customWidth="1"/>
    <col min="17" max="17" width="13.140625" style="1" customWidth="1"/>
    <col min="18" max="18" width="13" style="1" customWidth="1"/>
    <col min="19" max="19" width="6.28515625" style="1" hidden="1" customWidth="1"/>
    <col min="20" max="20" width="9.140625" style="1" hidden="1" customWidth="1"/>
    <col min="21" max="21" width="9.140625" style="1" customWidth="1"/>
    <col min="22" max="23" width="9.140625" style="1"/>
    <col min="24" max="30" width="10.140625" style="1" bestFit="1" customWidth="1"/>
    <col min="31" max="234" width="9.140625" style="1"/>
    <col min="235" max="235" width="5.28515625" style="1" customWidth="1"/>
    <col min="236" max="236" width="7" style="1" customWidth="1"/>
    <col min="237" max="237" width="14.7109375" style="1" customWidth="1"/>
    <col min="238" max="238" width="14.42578125" style="1" customWidth="1"/>
    <col min="239" max="239" width="8.42578125" style="1" customWidth="1"/>
    <col min="240" max="240" width="10.42578125" style="1" customWidth="1"/>
    <col min="241" max="242" width="15" style="1" customWidth="1"/>
    <col min="243" max="243" width="8.42578125" style="1" customWidth="1"/>
    <col min="244" max="244" width="35.85546875" style="1" customWidth="1"/>
    <col min="245" max="245" width="28.7109375" style="1" customWidth="1"/>
    <col min="246" max="246" width="8.7109375" style="1" customWidth="1"/>
    <col min="247" max="247" width="14.140625" style="1" customWidth="1"/>
    <col min="248" max="248" width="18.42578125" style="1" customWidth="1"/>
    <col min="249" max="249" width="14.85546875" style="1" customWidth="1"/>
    <col min="250" max="250" width="11.7109375" style="1" customWidth="1"/>
    <col min="251" max="490" width="9.140625" style="1"/>
    <col min="491" max="491" width="5.28515625" style="1" customWidth="1"/>
    <col min="492" max="492" width="7" style="1" customWidth="1"/>
    <col min="493" max="493" width="14.7109375" style="1" customWidth="1"/>
    <col min="494" max="494" width="14.42578125" style="1" customWidth="1"/>
    <col min="495" max="495" width="8.42578125" style="1" customWidth="1"/>
    <col min="496" max="496" width="10.42578125" style="1" customWidth="1"/>
    <col min="497" max="498" width="15" style="1" customWidth="1"/>
    <col min="499" max="499" width="8.42578125" style="1" customWidth="1"/>
    <col min="500" max="500" width="35.85546875" style="1" customWidth="1"/>
    <col min="501" max="501" width="28.7109375" style="1" customWidth="1"/>
    <col min="502" max="502" width="8.7109375" style="1" customWidth="1"/>
    <col min="503" max="503" width="14.140625" style="1" customWidth="1"/>
    <col min="504" max="504" width="18.42578125" style="1" customWidth="1"/>
    <col min="505" max="505" width="14.85546875" style="1" customWidth="1"/>
    <col min="506" max="506" width="11.7109375" style="1" customWidth="1"/>
    <col min="507" max="746" width="9.140625" style="1"/>
    <col min="747" max="747" width="5.28515625" style="1" customWidth="1"/>
    <col min="748" max="748" width="7" style="1" customWidth="1"/>
    <col min="749" max="749" width="14.7109375" style="1" customWidth="1"/>
    <col min="750" max="750" width="14.42578125" style="1" customWidth="1"/>
    <col min="751" max="751" width="8.42578125" style="1" customWidth="1"/>
    <col min="752" max="752" width="10.42578125" style="1" customWidth="1"/>
    <col min="753" max="754" width="15" style="1" customWidth="1"/>
    <col min="755" max="755" width="8.42578125" style="1" customWidth="1"/>
    <col min="756" max="756" width="35.85546875" style="1" customWidth="1"/>
    <col min="757" max="757" width="28.7109375" style="1" customWidth="1"/>
    <col min="758" max="758" width="8.7109375" style="1" customWidth="1"/>
    <col min="759" max="759" width="14.140625" style="1" customWidth="1"/>
    <col min="760" max="760" width="18.42578125" style="1" customWidth="1"/>
    <col min="761" max="761" width="14.85546875" style="1" customWidth="1"/>
    <col min="762" max="762" width="11.7109375" style="1" customWidth="1"/>
    <col min="763" max="1002" width="9.140625" style="1"/>
    <col min="1003" max="1003" width="5.28515625" style="1" customWidth="1"/>
    <col min="1004" max="1004" width="7" style="1" customWidth="1"/>
    <col min="1005" max="1005" width="14.7109375" style="1" customWidth="1"/>
    <col min="1006" max="1006" width="14.42578125" style="1" customWidth="1"/>
    <col min="1007" max="1007" width="8.42578125" style="1" customWidth="1"/>
    <col min="1008" max="1008" width="10.42578125" style="1" customWidth="1"/>
    <col min="1009" max="1010" width="15" style="1" customWidth="1"/>
    <col min="1011" max="1011" width="8.42578125" style="1" customWidth="1"/>
    <col min="1012" max="1012" width="35.85546875" style="1" customWidth="1"/>
    <col min="1013" max="1013" width="28.7109375" style="1" customWidth="1"/>
    <col min="1014" max="1014" width="8.7109375" style="1" customWidth="1"/>
    <col min="1015" max="1015" width="14.140625" style="1" customWidth="1"/>
    <col min="1016" max="1016" width="18.42578125" style="1" customWidth="1"/>
    <col min="1017" max="1017" width="14.85546875" style="1" customWidth="1"/>
    <col min="1018" max="1018" width="11.7109375" style="1" customWidth="1"/>
    <col min="1019" max="1258" width="9.140625" style="1"/>
    <col min="1259" max="1259" width="5.28515625" style="1" customWidth="1"/>
    <col min="1260" max="1260" width="7" style="1" customWidth="1"/>
    <col min="1261" max="1261" width="14.7109375" style="1" customWidth="1"/>
    <col min="1262" max="1262" width="14.42578125" style="1" customWidth="1"/>
    <col min="1263" max="1263" width="8.42578125" style="1" customWidth="1"/>
    <col min="1264" max="1264" width="10.42578125" style="1" customWidth="1"/>
    <col min="1265" max="1266" width="15" style="1" customWidth="1"/>
    <col min="1267" max="1267" width="8.42578125" style="1" customWidth="1"/>
    <col min="1268" max="1268" width="35.85546875" style="1" customWidth="1"/>
    <col min="1269" max="1269" width="28.7109375" style="1" customWidth="1"/>
    <col min="1270" max="1270" width="8.7109375" style="1" customWidth="1"/>
    <col min="1271" max="1271" width="14.140625" style="1" customWidth="1"/>
    <col min="1272" max="1272" width="18.42578125" style="1" customWidth="1"/>
    <col min="1273" max="1273" width="14.85546875" style="1" customWidth="1"/>
    <col min="1274" max="1274" width="11.7109375" style="1" customWidth="1"/>
    <col min="1275" max="1514" width="9.140625" style="1"/>
    <col min="1515" max="1515" width="5.28515625" style="1" customWidth="1"/>
    <col min="1516" max="1516" width="7" style="1" customWidth="1"/>
    <col min="1517" max="1517" width="14.7109375" style="1" customWidth="1"/>
    <col min="1518" max="1518" width="14.42578125" style="1" customWidth="1"/>
    <col min="1519" max="1519" width="8.42578125" style="1" customWidth="1"/>
    <col min="1520" max="1520" width="10.42578125" style="1" customWidth="1"/>
    <col min="1521" max="1522" width="15" style="1" customWidth="1"/>
    <col min="1523" max="1523" width="8.42578125" style="1" customWidth="1"/>
    <col min="1524" max="1524" width="35.85546875" style="1" customWidth="1"/>
    <col min="1525" max="1525" width="28.7109375" style="1" customWidth="1"/>
    <col min="1526" max="1526" width="8.7109375" style="1" customWidth="1"/>
    <col min="1527" max="1527" width="14.140625" style="1" customWidth="1"/>
    <col min="1528" max="1528" width="18.42578125" style="1" customWidth="1"/>
    <col min="1529" max="1529" width="14.85546875" style="1" customWidth="1"/>
    <col min="1530" max="1530" width="11.7109375" style="1" customWidth="1"/>
    <col min="1531" max="1770" width="9.140625" style="1"/>
    <col min="1771" max="1771" width="5.28515625" style="1" customWidth="1"/>
    <col min="1772" max="1772" width="7" style="1" customWidth="1"/>
    <col min="1773" max="1773" width="14.7109375" style="1" customWidth="1"/>
    <col min="1774" max="1774" width="14.42578125" style="1" customWidth="1"/>
    <col min="1775" max="1775" width="8.42578125" style="1" customWidth="1"/>
    <col min="1776" max="1776" width="10.42578125" style="1" customWidth="1"/>
    <col min="1777" max="1778" width="15" style="1" customWidth="1"/>
    <col min="1779" max="1779" width="8.42578125" style="1" customWidth="1"/>
    <col min="1780" max="1780" width="35.85546875" style="1" customWidth="1"/>
    <col min="1781" max="1781" width="28.7109375" style="1" customWidth="1"/>
    <col min="1782" max="1782" width="8.7109375" style="1" customWidth="1"/>
    <col min="1783" max="1783" width="14.140625" style="1" customWidth="1"/>
    <col min="1784" max="1784" width="18.42578125" style="1" customWidth="1"/>
    <col min="1785" max="1785" width="14.85546875" style="1" customWidth="1"/>
    <col min="1786" max="1786" width="11.7109375" style="1" customWidth="1"/>
    <col min="1787" max="2026" width="9.140625" style="1"/>
    <col min="2027" max="2027" width="5.28515625" style="1" customWidth="1"/>
    <col min="2028" max="2028" width="7" style="1" customWidth="1"/>
    <col min="2029" max="2029" width="14.7109375" style="1" customWidth="1"/>
    <col min="2030" max="2030" width="14.42578125" style="1" customWidth="1"/>
    <col min="2031" max="2031" width="8.42578125" style="1" customWidth="1"/>
    <col min="2032" max="2032" width="10.42578125" style="1" customWidth="1"/>
    <col min="2033" max="2034" width="15" style="1" customWidth="1"/>
    <col min="2035" max="2035" width="8.42578125" style="1" customWidth="1"/>
    <col min="2036" max="2036" width="35.85546875" style="1" customWidth="1"/>
    <col min="2037" max="2037" width="28.7109375" style="1" customWidth="1"/>
    <col min="2038" max="2038" width="8.7109375" style="1" customWidth="1"/>
    <col min="2039" max="2039" width="14.140625" style="1" customWidth="1"/>
    <col min="2040" max="2040" width="18.42578125" style="1" customWidth="1"/>
    <col min="2041" max="2041" width="14.85546875" style="1" customWidth="1"/>
    <col min="2042" max="2042" width="11.7109375" style="1" customWidth="1"/>
    <col min="2043" max="2282" width="9.140625" style="1"/>
    <col min="2283" max="2283" width="5.28515625" style="1" customWidth="1"/>
    <col min="2284" max="2284" width="7" style="1" customWidth="1"/>
    <col min="2285" max="2285" width="14.7109375" style="1" customWidth="1"/>
    <col min="2286" max="2286" width="14.42578125" style="1" customWidth="1"/>
    <col min="2287" max="2287" width="8.42578125" style="1" customWidth="1"/>
    <col min="2288" max="2288" width="10.42578125" style="1" customWidth="1"/>
    <col min="2289" max="2290" width="15" style="1" customWidth="1"/>
    <col min="2291" max="2291" width="8.42578125" style="1" customWidth="1"/>
    <col min="2292" max="2292" width="35.85546875" style="1" customWidth="1"/>
    <col min="2293" max="2293" width="28.7109375" style="1" customWidth="1"/>
    <col min="2294" max="2294" width="8.7109375" style="1" customWidth="1"/>
    <col min="2295" max="2295" width="14.140625" style="1" customWidth="1"/>
    <col min="2296" max="2296" width="18.42578125" style="1" customWidth="1"/>
    <col min="2297" max="2297" width="14.85546875" style="1" customWidth="1"/>
    <col min="2298" max="2298" width="11.7109375" style="1" customWidth="1"/>
    <col min="2299" max="2538" width="9.140625" style="1"/>
    <col min="2539" max="2539" width="5.28515625" style="1" customWidth="1"/>
    <col min="2540" max="2540" width="7" style="1" customWidth="1"/>
    <col min="2541" max="2541" width="14.7109375" style="1" customWidth="1"/>
    <col min="2542" max="2542" width="14.42578125" style="1" customWidth="1"/>
    <col min="2543" max="2543" width="8.42578125" style="1" customWidth="1"/>
    <col min="2544" max="2544" width="10.42578125" style="1" customWidth="1"/>
    <col min="2545" max="2546" width="15" style="1" customWidth="1"/>
    <col min="2547" max="2547" width="8.42578125" style="1" customWidth="1"/>
    <col min="2548" max="2548" width="35.85546875" style="1" customWidth="1"/>
    <col min="2549" max="2549" width="28.7109375" style="1" customWidth="1"/>
    <col min="2550" max="2550" width="8.7109375" style="1" customWidth="1"/>
    <col min="2551" max="2551" width="14.140625" style="1" customWidth="1"/>
    <col min="2552" max="2552" width="18.42578125" style="1" customWidth="1"/>
    <col min="2553" max="2553" width="14.85546875" style="1" customWidth="1"/>
    <col min="2554" max="2554" width="11.7109375" style="1" customWidth="1"/>
    <col min="2555" max="2794" width="9.140625" style="1"/>
    <col min="2795" max="2795" width="5.28515625" style="1" customWidth="1"/>
    <col min="2796" max="2796" width="7" style="1" customWidth="1"/>
    <col min="2797" max="2797" width="14.7109375" style="1" customWidth="1"/>
    <col min="2798" max="2798" width="14.42578125" style="1" customWidth="1"/>
    <col min="2799" max="2799" width="8.42578125" style="1" customWidth="1"/>
    <col min="2800" max="2800" width="10.42578125" style="1" customWidth="1"/>
    <col min="2801" max="2802" width="15" style="1" customWidth="1"/>
    <col min="2803" max="2803" width="8.42578125" style="1" customWidth="1"/>
    <col min="2804" max="2804" width="35.85546875" style="1" customWidth="1"/>
    <col min="2805" max="2805" width="28.7109375" style="1" customWidth="1"/>
    <col min="2806" max="2806" width="8.7109375" style="1" customWidth="1"/>
    <col min="2807" max="2807" width="14.140625" style="1" customWidth="1"/>
    <col min="2808" max="2808" width="18.42578125" style="1" customWidth="1"/>
    <col min="2809" max="2809" width="14.85546875" style="1" customWidth="1"/>
    <col min="2810" max="2810" width="11.7109375" style="1" customWidth="1"/>
    <col min="2811" max="3050" width="9.140625" style="1"/>
    <col min="3051" max="3051" width="5.28515625" style="1" customWidth="1"/>
    <col min="3052" max="3052" width="7" style="1" customWidth="1"/>
    <col min="3053" max="3053" width="14.7109375" style="1" customWidth="1"/>
    <col min="3054" max="3054" width="14.42578125" style="1" customWidth="1"/>
    <col min="3055" max="3055" width="8.42578125" style="1" customWidth="1"/>
    <col min="3056" max="3056" width="10.42578125" style="1" customWidth="1"/>
    <col min="3057" max="3058" width="15" style="1" customWidth="1"/>
    <col min="3059" max="3059" width="8.42578125" style="1" customWidth="1"/>
    <col min="3060" max="3060" width="35.85546875" style="1" customWidth="1"/>
    <col min="3061" max="3061" width="28.7109375" style="1" customWidth="1"/>
    <col min="3062" max="3062" width="8.7109375" style="1" customWidth="1"/>
    <col min="3063" max="3063" width="14.140625" style="1" customWidth="1"/>
    <col min="3064" max="3064" width="18.42578125" style="1" customWidth="1"/>
    <col min="3065" max="3065" width="14.85546875" style="1" customWidth="1"/>
    <col min="3066" max="3066" width="11.7109375" style="1" customWidth="1"/>
    <col min="3067" max="3306" width="9.140625" style="1"/>
    <col min="3307" max="3307" width="5.28515625" style="1" customWidth="1"/>
    <col min="3308" max="3308" width="7" style="1" customWidth="1"/>
    <col min="3309" max="3309" width="14.7109375" style="1" customWidth="1"/>
    <col min="3310" max="3310" width="14.42578125" style="1" customWidth="1"/>
    <col min="3311" max="3311" width="8.42578125" style="1" customWidth="1"/>
    <col min="3312" max="3312" width="10.42578125" style="1" customWidth="1"/>
    <col min="3313" max="3314" width="15" style="1" customWidth="1"/>
    <col min="3315" max="3315" width="8.42578125" style="1" customWidth="1"/>
    <col min="3316" max="3316" width="35.85546875" style="1" customWidth="1"/>
    <col min="3317" max="3317" width="28.7109375" style="1" customWidth="1"/>
    <col min="3318" max="3318" width="8.7109375" style="1" customWidth="1"/>
    <col min="3319" max="3319" width="14.140625" style="1" customWidth="1"/>
    <col min="3320" max="3320" width="18.42578125" style="1" customWidth="1"/>
    <col min="3321" max="3321" width="14.85546875" style="1" customWidth="1"/>
    <col min="3322" max="3322" width="11.7109375" style="1" customWidth="1"/>
    <col min="3323" max="3562" width="9.140625" style="1"/>
    <col min="3563" max="3563" width="5.28515625" style="1" customWidth="1"/>
    <col min="3564" max="3564" width="7" style="1" customWidth="1"/>
    <col min="3565" max="3565" width="14.7109375" style="1" customWidth="1"/>
    <col min="3566" max="3566" width="14.42578125" style="1" customWidth="1"/>
    <col min="3567" max="3567" width="8.42578125" style="1" customWidth="1"/>
    <col min="3568" max="3568" width="10.42578125" style="1" customWidth="1"/>
    <col min="3569" max="3570" width="15" style="1" customWidth="1"/>
    <col min="3571" max="3571" width="8.42578125" style="1" customWidth="1"/>
    <col min="3572" max="3572" width="35.85546875" style="1" customWidth="1"/>
    <col min="3573" max="3573" width="28.7109375" style="1" customWidth="1"/>
    <col min="3574" max="3574" width="8.7109375" style="1" customWidth="1"/>
    <col min="3575" max="3575" width="14.140625" style="1" customWidth="1"/>
    <col min="3576" max="3576" width="18.42578125" style="1" customWidth="1"/>
    <col min="3577" max="3577" width="14.85546875" style="1" customWidth="1"/>
    <col min="3578" max="3578" width="11.7109375" style="1" customWidth="1"/>
    <col min="3579" max="3818" width="9.140625" style="1"/>
    <col min="3819" max="3819" width="5.28515625" style="1" customWidth="1"/>
    <col min="3820" max="3820" width="7" style="1" customWidth="1"/>
    <col min="3821" max="3821" width="14.7109375" style="1" customWidth="1"/>
    <col min="3822" max="3822" width="14.42578125" style="1" customWidth="1"/>
    <col min="3823" max="3823" width="8.42578125" style="1" customWidth="1"/>
    <col min="3824" max="3824" width="10.42578125" style="1" customWidth="1"/>
    <col min="3825" max="3826" width="15" style="1" customWidth="1"/>
    <col min="3827" max="3827" width="8.42578125" style="1" customWidth="1"/>
    <col min="3828" max="3828" width="35.85546875" style="1" customWidth="1"/>
    <col min="3829" max="3829" width="28.7109375" style="1" customWidth="1"/>
    <col min="3830" max="3830" width="8.7109375" style="1" customWidth="1"/>
    <col min="3831" max="3831" width="14.140625" style="1" customWidth="1"/>
    <col min="3832" max="3832" width="18.42578125" style="1" customWidth="1"/>
    <col min="3833" max="3833" width="14.85546875" style="1" customWidth="1"/>
    <col min="3834" max="3834" width="11.7109375" style="1" customWidth="1"/>
    <col min="3835" max="4074" width="9.140625" style="1"/>
    <col min="4075" max="4075" width="5.28515625" style="1" customWidth="1"/>
    <col min="4076" max="4076" width="7" style="1" customWidth="1"/>
    <col min="4077" max="4077" width="14.7109375" style="1" customWidth="1"/>
    <col min="4078" max="4078" width="14.42578125" style="1" customWidth="1"/>
    <col min="4079" max="4079" width="8.42578125" style="1" customWidth="1"/>
    <col min="4080" max="4080" width="10.42578125" style="1" customWidth="1"/>
    <col min="4081" max="4082" width="15" style="1" customWidth="1"/>
    <col min="4083" max="4083" width="8.42578125" style="1" customWidth="1"/>
    <col min="4084" max="4084" width="35.85546875" style="1" customWidth="1"/>
    <col min="4085" max="4085" width="28.7109375" style="1" customWidth="1"/>
    <col min="4086" max="4086" width="8.7109375" style="1" customWidth="1"/>
    <col min="4087" max="4087" width="14.140625" style="1" customWidth="1"/>
    <col min="4088" max="4088" width="18.42578125" style="1" customWidth="1"/>
    <col min="4089" max="4089" width="14.85546875" style="1" customWidth="1"/>
    <col min="4090" max="4090" width="11.7109375" style="1" customWidth="1"/>
    <col min="4091" max="4330" width="9.140625" style="1"/>
    <col min="4331" max="4331" width="5.28515625" style="1" customWidth="1"/>
    <col min="4332" max="4332" width="7" style="1" customWidth="1"/>
    <col min="4333" max="4333" width="14.7109375" style="1" customWidth="1"/>
    <col min="4334" max="4334" width="14.42578125" style="1" customWidth="1"/>
    <col min="4335" max="4335" width="8.42578125" style="1" customWidth="1"/>
    <col min="4336" max="4336" width="10.42578125" style="1" customWidth="1"/>
    <col min="4337" max="4338" width="15" style="1" customWidth="1"/>
    <col min="4339" max="4339" width="8.42578125" style="1" customWidth="1"/>
    <col min="4340" max="4340" width="35.85546875" style="1" customWidth="1"/>
    <col min="4341" max="4341" width="28.7109375" style="1" customWidth="1"/>
    <col min="4342" max="4342" width="8.7109375" style="1" customWidth="1"/>
    <col min="4343" max="4343" width="14.140625" style="1" customWidth="1"/>
    <col min="4344" max="4344" width="18.42578125" style="1" customWidth="1"/>
    <col min="4345" max="4345" width="14.85546875" style="1" customWidth="1"/>
    <col min="4346" max="4346" width="11.7109375" style="1" customWidth="1"/>
    <col min="4347" max="4586" width="9.140625" style="1"/>
    <col min="4587" max="4587" width="5.28515625" style="1" customWidth="1"/>
    <col min="4588" max="4588" width="7" style="1" customWidth="1"/>
    <col min="4589" max="4589" width="14.7109375" style="1" customWidth="1"/>
    <col min="4590" max="4590" width="14.42578125" style="1" customWidth="1"/>
    <col min="4591" max="4591" width="8.42578125" style="1" customWidth="1"/>
    <col min="4592" max="4592" width="10.42578125" style="1" customWidth="1"/>
    <col min="4593" max="4594" width="15" style="1" customWidth="1"/>
    <col min="4595" max="4595" width="8.42578125" style="1" customWidth="1"/>
    <col min="4596" max="4596" width="35.85546875" style="1" customWidth="1"/>
    <col min="4597" max="4597" width="28.7109375" style="1" customWidth="1"/>
    <col min="4598" max="4598" width="8.7109375" style="1" customWidth="1"/>
    <col min="4599" max="4599" width="14.140625" style="1" customWidth="1"/>
    <col min="4600" max="4600" width="18.42578125" style="1" customWidth="1"/>
    <col min="4601" max="4601" width="14.85546875" style="1" customWidth="1"/>
    <col min="4602" max="4602" width="11.7109375" style="1" customWidth="1"/>
    <col min="4603" max="4842" width="9.140625" style="1"/>
    <col min="4843" max="4843" width="5.28515625" style="1" customWidth="1"/>
    <col min="4844" max="4844" width="7" style="1" customWidth="1"/>
    <col min="4845" max="4845" width="14.7109375" style="1" customWidth="1"/>
    <col min="4846" max="4846" width="14.42578125" style="1" customWidth="1"/>
    <col min="4847" max="4847" width="8.42578125" style="1" customWidth="1"/>
    <col min="4848" max="4848" width="10.42578125" style="1" customWidth="1"/>
    <col min="4849" max="4850" width="15" style="1" customWidth="1"/>
    <col min="4851" max="4851" width="8.42578125" style="1" customWidth="1"/>
    <col min="4852" max="4852" width="35.85546875" style="1" customWidth="1"/>
    <col min="4853" max="4853" width="28.7109375" style="1" customWidth="1"/>
    <col min="4854" max="4854" width="8.7109375" style="1" customWidth="1"/>
    <col min="4855" max="4855" width="14.140625" style="1" customWidth="1"/>
    <col min="4856" max="4856" width="18.42578125" style="1" customWidth="1"/>
    <col min="4857" max="4857" width="14.85546875" style="1" customWidth="1"/>
    <col min="4858" max="4858" width="11.7109375" style="1" customWidth="1"/>
    <col min="4859" max="5098" width="9.140625" style="1"/>
    <col min="5099" max="5099" width="5.28515625" style="1" customWidth="1"/>
    <col min="5100" max="5100" width="7" style="1" customWidth="1"/>
    <col min="5101" max="5101" width="14.7109375" style="1" customWidth="1"/>
    <col min="5102" max="5102" width="14.42578125" style="1" customWidth="1"/>
    <col min="5103" max="5103" width="8.42578125" style="1" customWidth="1"/>
    <col min="5104" max="5104" width="10.42578125" style="1" customWidth="1"/>
    <col min="5105" max="5106" width="15" style="1" customWidth="1"/>
    <col min="5107" max="5107" width="8.42578125" style="1" customWidth="1"/>
    <col min="5108" max="5108" width="35.85546875" style="1" customWidth="1"/>
    <col min="5109" max="5109" width="28.7109375" style="1" customWidth="1"/>
    <col min="5110" max="5110" width="8.7109375" style="1" customWidth="1"/>
    <col min="5111" max="5111" width="14.140625" style="1" customWidth="1"/>
    <col min="5112" max="5112" width="18.42578125" style="1" customWidth="1"/>
    <col min="5113" max="5113" width="14.85546875" style="1" customWidth="1"/>
    <col min="5114" max="5114" width="11.7109375" style="1" customWidth="1"/>
    <col min="5115" max="5354" width="9.140625" style="1"/>
    <col min="5355" max="5355" width="5.28515625" style="1" customWidth="1"/>
    <col min="5356" max="5356" width="7" style="1" customWidth="1"/>
    <col min="5357" max="5357" width="14.7109375" style="1" customWidth="1"/>
    <col min="5358" max="5358" width="14.42578125" style="1" customWidth="1"/>
    <col min="5359" max="5359" width="8.42578125" style="1" customWidth="1"/>
    <col min="5360" max="5360" width="10.42578125" style="1" customWidth="1"/>
    <col min="5361" max="5362" width="15" style="1" customWidth="1"/>
    <col min="5363" max="5363" width="8.42578125" style="1" customWidth="1"/>
    <col min="5364" max="5364" width="35.85546875" style="1" customWidth="1"/>
    <col min="5365" max="5365" width="28.7109375" style="1" customWidth="1"/>
    <col min="5366" max="5366" width="8.7109375" style="1" customWidth="1"/>
    <col min="5367" max="5367" width="14.140625" style="1" customWidth="1"/>
    <col min="5368" max="5368" width="18.42578125" style="1" customWidth="1"/>
    <col min="5369" max="5369" width="14.85546875" style="1" customWidth="1"/>
    <col min="5370" max="5370" width="11.7109375" style="1" customWidth="1"/>
    <col min="5371" max="5610" width="9.140625" style="1"/>
    <col min="5611" max="5611" width="5.28515625" style="1" customWidth="1"/>
    <col min="5612" max="5612" width="7" style="1" customWidth="1"/>
    <col min="5613" max="5613" width="14.7109375" style="1" customWidth="1"/>
    <col min="5614" max="5614" width="14.42578125" style="1" customWidth="1"/>
    <col min="5615" max="5615" width="8.42578125" style="1" customWidth="1"/>
    <col min="5616" max="5616" width="10.42578125" style="1" customWidth="1"/>
    <col min="5617" max="5618" width="15" style="1" customWidth="1"/>
    <col min="5619" max="5619" width="8.42578125" style="1" customWidth="1"/>
    <col min="5620" max="5620" width="35.85546875" style="1" customWidth="1"/>
    <col min="5621" max="5621" width="28.7109375" style="1" customWidth="1"/>
    <col min="5622" max="5622" width="8.7109375" style="1" customWidth="1"/>
    <col min="5623" max="5623" width="14.140625" style="1" customWidth="1"/>
    <col min="5624" max="5624" width="18.42578125" style="1" customWidth="1"/>
    <col min="5625" max="5625" width="14.85546875" style="1" customWidth="1"/>
    <col min="5626" max="5626" width="11.7109375" style="1" customWidth="1"/>
    <col min="5627" max="5866" width="9.140625" style="1"/>
    <col min="5867" max="5867" width="5.28515625" style="1" customWidth="1"/>
    <col min="5868" max="5868" width="7" style="1" customWidth="1"/>
    <col min="5869" max="5869" width="14.7109375" style="1" customWidth="1"/>
    <col min="5870" max="5870" width="14.42578125" style="1" customWidth="1"/>
    <col min="5871" max="5871" width="8.42578125" style="1" customWidth="1"/>
    <col min="5872" max="5872" width="10.42578125" style="1" customWidth="1"/>
    <col min="5873" max="5874" width="15" style="1" customWidth="1"/>
    <col min="5875" max="5875" width="8.42578125" style="1" customWidth="1"/>
    <col min="5876" max="5876" width="35.85546875" style="1" customWidth="1"/>
    <col min="5877" max="5877" width="28.7109375" style="1" customWidth="1"/>
    <col min="5878" max="5878" width="8.7109375" style="1" customWidth="1"/>
    <col min="5879" max="5879" width="14.140625" style="1" customWidth="1"/>
    <col min="5880" max="5880" width="18.42578125" style="1" customWidth="1"/>
    <col min="5881" max="5881" width="14.85546875" style="1" customWidth="1"/>
    <col min="5882" max="5882" width="11.7109375" style="1" customWidth="1"/>
    <col min="5883" max="6122" width="9.140625" style="1"/>
    <col min="6123" max="6123" width="5.28515625" style="1" customWidth="1"/>
    <col min="6124" max="6124" width="7" style="1" customWidth="1"/>
    <col min="6125" max="6125" width="14.7109375" style="1" customWidth="1"/>
    <col min="6126" max="6126" width="14.42578125" style="1" customWidth="1"/>
    <col min="6127" max="6127" width="8.42578125" style="1" customWidth="1"/>
    <col min="6128" max="6128" width="10.42578125" style="1" customWidth="1"/>
    <col min="6129" max="6130" width="15" style="1" customWidth="1"/>
    <col min="6131" max="6131" width="8.42578125" style="1" customWidth="1"/>
    <col min="6132" max="6132" width="35.85546875" style="1" customWidth="1"/>
    <col min="6133" max="6133" width="28.7109375" style="1" customWidth="1"/>
    <col min="6134" max="6134" width="8.7109375" style="1" customWidth="1"/>
    <col min="6135" max="6135" width="14.140625" style="1" customWidth="1"/>
    <col min="6136" max="6136" width="18.42578125" style="1" customWidth="1"/>
    <col min="6137" max="6137" width="14.85546875" style="1" customWidth="1"/>
    <col min="6138" max="6138" width="11.7109375" style="1" customWidth="1"/>
    <col min="6139" max="6378" width="9.140625" style="1"/>
    <col min="6379" max="6379" width="5.28515625" style="1" customWidth="1"/>
    <col min="6380" max="6380" width="7" style="1" customWidth="1"/>
    <col min="6381" max="6381" width="14.7109375" style="1" customWidth="1"/>
    <col min="6382" max="6382" width="14.42578125" style="1" customWidth="1"/>
    <col min="6383" max="6383" width="8.42578125" style="1" customWidth="1"/>
    <col min="6384" max="6384" width="10.42578125" style="1" customWidth="1"/>
    <col min="6385" max="6386" width="15" style="1" customWidth="1"/>
    <col min="6387" max="6387" width="8.42578125" style="1" customWidth="1"/>
    <col min="6388" max="6388" width="35.85546875" style="1" customWidth="1"/>
    <col min="6389" max="6389" width="28.7109375" style="1" customWidth="1"/>
    <col min="6390" max="6390" width="8.7109375" style="1" customWidth="1"/>
    <col min="6391" max="6391" width="14.140625" style="1" customWidth="1"/>
    <col min="6392" max="6392" width="18.42578125" style="1" customWidth="1"/>
    <col min="6393" max="6393" width="14.85546875" style="1" customWidth="1"/>
    <col min="6394" max="6394" width="11.7109375" style="1" customWidth="1"/>
    <col min="6395" max="6634" width="9.140625" style="1"/>
    <col min="6635" max="6635" width="5.28515625" style="1" customWidth="1"/>
    <col min="6636" max="6636" width="7" style="1" customWidth="1"/>
    <col min="6637" max="6637" width="14.7109375" style="1" customWidth="1"/>
    <col min="6638" max="6638" width="14.42578125" style="1" customWidth="1"/>
    <col min="6639" max="6639" width="8.42578125" style="1" customWidth="1"/>
    <col min="6640" max="6640" width="10.42578125" style="1" customWidth="1"/>
    <col min="6641" max="6642" width="15" style="1" customWidth="1"/>
    <col min="6643" max="6643" width="8.42578125" style="1" customWidth="1"/>
    <col min="6644" max="6644" width="35.85546875" style="1" customWidth="1"/>
    <col min="6645" max="6645" width="28.7109375" style="1" customWidth="1"/>
    <col min="6646" max="6646" width="8.7109375" style="1" customWidth="1"/>
    <col min="6647" max="6647" width="14.140625" style="1" customWidth="1"/>
    <col min="6648" max="6648" width="18.42578125" style="1" customWidth="1"/>
    <col min="6649" max="6649" width="14.85546875" style="1" customWidth="1"/>
    <col min="6650" max="6650" width="11.7109375" style="1" customWidth="1"/>
    <col min="6651" max="6890" width="9.140625" style="1"/>
    <col min="6891" max="6891" width="5.28515625" style="1" customWidth="1"/>
    <col min="6892" max="6892" width="7" style="1" customWidth="1"/>
    <col min="6893" max="6893" width="14.7109375" style="1" customWidth="1"/>
    <col min="6894" max="6894" width="14.42578125" style="1" customWidth="1"/>
    <col min="6895" max="6895" width="8.42578125" style="1" customWidth="1"/>
    <col min="6896" max="6896" width="10.42578125" style="1" customWidth="1"/>
    <col min="6897" max="6898" width="15" style="1" customWidth="1"/>
    <col min="6899" max="6899" width="8.42578125" style="1" customWidth="1"/>
    <col min="6900" max="6900" width="35.85546875" style="1" customWidth="1"/>
    <col min="6901" max="6901" width="28.7109375" style="1" customWidth="1"/>
    <col min="6902" max="6902" width="8.7109375" style="1" customWidth="1"/>
    <col min="6903" max="6903" width="14.140625" style="1" customWidth="1"/>
    <col min="6904" max="6904" width="18.42578125" style="1" customWidth="1"/>
    <col min="6905" max="6905" width="14.85546875" style="1" customWidth="1"/>
    <col min="6906" max="6906" width="11.7109375" style="1" customWidth="1"/>
    <col min="6907" max="7146" width="9.140625" style="1"/>
    <col min="7147" max="7147" width="5.28515625" style="1" customWidth="1"/>
    <col min="7148" max="7148" width="7" style="1" customWidth="1"/>
    <col min="7149" max="7149" width="14.7109375" style="1" customWidth="1"/>
    <col min="7150" max="7150" width="14.42578125" style="1" customWidth="1"/>
    <col min="7151" max="7151" width="8.42578125" style="1" customWidth="1"/>
    <col min="7152" max="7152" width="10.42578125" style="1" customWidth="1"/>
    <col min="7153" max="7154" width="15" style="1" customWidth="1"/>
    <col min="7155" max="7155" width="8.42578125" style="1" customWidth="1"/>
    <col min="7156" max="7156" width="35.85546875" style="1" customWidth="1"/>
    <col min="7157" max="7157" width="28.7109375" style="1" customWidth="1"/>
    <col min="7158" max="7158" width="8.7109375" style="1" customWidth="1"/>
    <col min="7159" max="7159" width="14.140625" style="1" customWidth="1"/>
    <col min="7160" max="7160" width="18.42578125" style="1" customWidth="1"/>
    <col min="7161" max="7161" width="14.85546875" style="1" customWidth="1"/>
    <col min="7162" max="7162" width="11.7109375" style="1" customWidth="1"/>
    <col min="7163" max="7402" width="9.140625" style="1"/>
    <col min="7403" max="7403" width="5.28515625" style="1" customWidth="1"/>
    <col min="7404" max="7404" width="7" style="1" customWidth="1"/>
    <col min="7405" max="7405" width="14.7109375" style="1" customWidth="1"/>
    <col min="7406" max="7406" width="14.42578125" style="1" customWidth="1"/>
    <col min="7407" max="7407" width="8.42578125" style="1" customWidth="1"/>
    <col min="7408" max="7408" width="10.42578125" style="1" customWidth="1"/>
    <col min="7409" max="7410" width="15" style="1" customWidth="1"/>
    <col min="7411" max="7411" width="8.42578125" style="1" customWidth="1"/>
    <col min="7412" max="7412" width="35.85546875" style="1" customWidth="1"/>
    <col min="7413" max="7413" width="28.7109375" style="1" customWidth="1"/>
    <col min="7414" max="7414" width="8.7109375" style="1" customWidth="1"/>
    <col min="7415" max="7415" width="14.140625" style="1" customWidth="1"/>
    <col min="7416" max="7416" width="18.42578125" style="1" customWidth="1"/>
    <col min="7417" max="7417" width="14.85546875" style="1" customWidth="1"/>
    <col min="7418" max="7418" width="11.7109375" style="1" customWidth="1"/>
    <col min="7419" max="7658" width="9.140625" style="1"/>
    <col min="7659" max="7659" width="5.28515625" style="1" customWidth="1"/>
    <col min="7660" max="7660" width="7" style="1" customWidth="1"/>
    <col min="7661" max="7661" width="14.7109375" style="1" customWidth="1"/>
    <col min="7662" max="7662" width="14.42578125" style="1" customWidth="1"/>
    <col min="7663" max="7663" width="8.42578125" style="1" customWidth="1"/>
    <col min="7664" max="7664" width="10.42578125" style="1" customWidth="1"/>
    <col min="7665" max="7666" width="15" style="1" customWidth="1"/>
    <col min="7667" max="7667" width="8.42578125" style="1" customWidth="1"/>
    <col min="7668" max="7668" width="35.85546875" style="1" customWidth="1"/>
    <col min="7669" max="7669" width="28.7109375" style="1" customWidth="1"/>
    <col min="7670" max="7670" width="8.7109375" style="1" customWidth="1"/>
    <col min="7671" max="7671" width="14.140625" style="1" customWidth="1"/>
    <col min="7672" max="7672" width="18.42578125" style="1" customWidth="1"/>
    <col min="7673" max="7673" width="14.85546875" style="1" customWidth="1"/>
    <col min="7674" max="7674" width="11.7109375" style="1" customWidth="1"/>
    <col min="7675" max="7914" width="9.140625" style="1"/>
    <col min="7915" max="7915" width="5.28515625" style="1" customWidth="1"/>
    <col min="7916" max="7916" width="7" style="1" customWidth="1"/>
    <col min="7917" max="7917" width="14.7109375" style="1" customWidth="1"/>
    <col min="7918" max="7918" width="14.42578125" style="1" customWidth="1"/>
    <col min="7919" max="7919" width="8.42578125" style="1" customWidth="1"/>
    <col min="7920" max="7920" width="10.42578125" style="1" customWidth="1"/>
    <col min="7921" max="7922" width="15" style="1" customWidth="1"/>
    <col min="7923" max="7923" width="8.42578125" style="1" customWidth="1"/>
    <col min="7924" max="7924" width="35.85546875" style="1" customWidth="1"/>
    <col min="7925" max="7925" width="28.7109375" style="1" customWidth="1"/>
    <col min="7926" max="7926" width="8.7109375" style="1" customWidth="1"/>
    <col min="7927" max="7927" width="14.140625" style="1" customWidth="1"/>
    <col min="7928" max="7928" width="18.42578125" style="1" customWidth="1"/>
    <col min="7929" max="7929" width="14.85546875" style="1" customWidth="1"/>
    <col min="7930" max="7930" width="11.7109375" style="1" customWidth="1"/>
    <col min="7931" max="8170" width="9.140625" style="1"/>
    <col min="8171" max="8171" width="5.28515625" style="1" customWidth="1"/>
    <col min="8172" max="8172" width="7" style="1" customWidth="1"/>
    <col min="8173" max="8173" width="14.7109375" style="1" customWidth="1"/>
    <col min="8174" max="8174" width="14.42578125" style="1" customWidth="1"/>
    <col min="8175" max="8175" width="8.42578125" style="1" customWidth="1"/>
    <col min="8176" max="8176" width="10.42578125" style="1" customWidth="1"/>
    <col min="8177" max="8178" width="15" style="1" customWidth="1"/>
    <col min="8179" max="8179" width="8.42578125" style="1" customWidth="1"/>
    <col min="8180" max="8180" width="35.85546875" style="1" customWidth="1"/>
    <col min="8181" max="8181" width="28.7109375" style="1" customWidth="1"/>
    <col min="8182" max="8182" width="8.7109375" style="1" customWidth="1"/>
    <col min="8183" max="8183" width="14.140625" style="1" customWidth="1"/>
    <col min="8184" max="8184" width="18.42578125" style="1" customWidth="1"/>
    <col min="8185" max="8185" width="14.85546875" style="1" customWidth="1"/>
    <col min="8186" max="8186" width="11.7109375" style="1" customWidth="1"/>
    <col min="8187" max="8426" width="9.140625" style="1"/>
    <col min="8427" max="8427" width="5.28515625" style="1" customWidth="1"/>
    <col min="8428" max="8428" width="7" style="1" customWidth="1"/>
    <col min="8429" max="8429" width="14.7109375" style="1" customWidth="1"/>
    <col min="8430" max="8430" width="14.42578125" style="1" customWidth="1"/>
    <col min="8431" max="8431" width="8.42578125" style="1" customWidth="1"/>
    <col min="8432" max="8432" width="10.42578125" style="1" customWidth="1"/>
    <col min="8433" max="8434" width="15" style="1" customWidth="1"/>
    <col min="8435" max="8435" width="8.42578125" style="1" customWidth="1"/>
    <col min="8436" max="8436" width="35.85546875" style="1" customWidth="1"/>
    <col min="8437" max="8437" width="28.7109375" style="1" customWidth="1"/>
    <col min="8438" max="8438" width="8.7109375" style="1" customWidth="1"/>
    <col min="8439" max="8439" width="14.140625" style="1" customWidth="1"/>
    <col min="8440" max="8440" width="18.42578125" style="1" customWidth="1"/>
    <col min="8441" max="8441" width="14.85546875" style="1" customWidth="1"/>
    <col min="8442" max="8442" width="11.7109375" style="1" customWidth="1"/>
    <col min="8443" max="8682" width="9.140625" style="1"/>
    <col min="8683" max="8683" width="5.28515625" style="1" customWidth="1"/>
    <col min="8684" max="8684" width="7" style="1" customWidth="1"/>
    <col min="8685" max="8685" width="14.7109375" style="1" customWidth="1"/>
    <col min="8686" max="8686" width="14.42578125" style="1" customWidth="1"/>
    <col min="8687" max="8687" width="8.42578125" style="1" customWidth="1"/>
    <col min="8688" max="8688" width="10.42578125" style="1" customWidth="1"/>
    <col min="8689" max="8690" width="15" style="1" customWidth="1"/>
    <col min="8691" max="8691" width="8.42578125" style="1" customWidth="1"/>
    <col min="8692" max="8692" width="35.85546875" style="1" customWidth="1"/>
    <col min="8693" max="8693" width="28.7109375" style="1" customWidth="1"/>
    <col min="8694" max="8694" width="8.7109375" style="1" customWidth="1"/>
    <col min="8695" max="8695" width="14.140625" style="1" customWidth="1"/>
    <col min="8696" max="8696" width="18.42578125" style="1" customWidth="1"/>
    <col min="8697" max="8697" width="14.85546875" style="1" customWidth="1"/>
    <col min="8698" max="8698" width="11.7109375" style="1" customWidth="1"/>
    <col min="8699" max="8938" width="9.140625" style="1"/>
    <col min="8939" max="8939" width="5.28515625" style="1" customWidth="1"/>
    <col min="8940" max="8940" width="7" style="1" customWidth="1"/>
    <col min="8941" max="8941" width="14.7109375" style="1" customWidth="1"/>
    <col min="8942" max="8942" width="14.42578125" style="1" customWidth="1"/>
    <col min="8943" max="8943" width="8.42578125" style="1" customWidth="1"/>
    <col min="8944" max="8944" width="10.42578125" style="1" customWidth="1"/>
    <col min="8945" max="8946" width="15" style="1" customWidth="1"/>
    <col min="8947" max="8947" width="8.42578125" style="1" customWidth="1"/>
    <col min="8948" max="8948" width="35.85546875" style="1" customWidth="1"/>
    <col min="8949" max="8949" width="28.7109375" style="1" customWidth="1"/>
    <col min="8950" max="8950" width="8.7109375" style="1" customWidth="1"/>
    <col min="8951" max="8951" width="14.140625" style="1" customWidth="1"/>
    <col min="8952" max="8952" width="18.42578125" style="1" customWidth="1"/>
    <col min="8953" max="8953" width="14.85546875" style="1" customWidth="1"/>
    <col min="8954" max="8954" width="11.7109375" style="1" customWidth="1"/>
    <col min="8955" max="9194" width="9.140625" style="1"/>
    <col min="9195" max="9195" width="5.28515625" style="1" customWidth="1"/>
    <col min="9196" max="9196" width="7" style="1" customWidth="1"/>
    <col min="9197" max="9197" width="14.7109375" style="1" customWidth="1"/>
    <col min="9198" max="9198" width="14.42578125" style="1" customWidth="1"/>
    <col min="9199" max="9199" width="8.42578125" style="1" customWidth="1"/>
    <col min="9200" max="9200" width="10.42578125" style="1" customWidth="1"/>
    <col min="9201" max="9202" width="15" style="1" customWidth="1"/>
    <col min="9203" max="9203" width="8.42578125" style="1" customWidth="1"/>
    <col min="9204" max="9204" width="35.85546875" style="1" customWidth="1"/>
    <col min="9205" max="9205" width="28.7109375" style="1" customWidth="1"/>
    <col min="9206" max="9206" width="8.7109375" style="1" customWidth="1"/>
    <col min="9207" max="9207" width="14.140625" style="1" customWidth="1"/>
    <col min="9208" max="9208" width="18.42578125" style="1" customWidth="1"/>
    <col min="9209" max="9209" width="14.85546875" style="1" customWidth="1"/>
    <col min="9210" max="9210" width="11.7109375" style="1" customWidth="1"/>
    <col min="9211" max="9450" width="9.140625" style="1"/>
    <col min="9451" max="9451" width="5.28515625" style="1" customWidth="1"/>
    <col min="9452" max="9452" width="7" style="1" customWidth="1"/>
    <col min="9453" max="9453" width="14.7109375" style="1" customWidth="1"/>
    <col min="9454" max="9454" width="14.42578125" style="1" customWidth="1"/>
    <col min="9455" max="9455" width="8.42578125" style="1" customWidth="1"/>
    <col min="9456" max="9456" width="10.42578125" style="1" customWidth="1"/>
    <col min="9457" max="9458" width="15" style="1" customWidth="1"/>
    <col min="9459" max="9459" width="8.42578125" style="1" customWidth="1"/>
    <col min="9460" max="9460" width="35.85546875" style="1" customWidth="1"/>
    <col min="9461" max="9461" width="28.7109375" style="1" customWidth="1"/>
    <col min="9462" max="9462" width="8.7109375" style="1" customWidth="1"/>
    <col min="9463" max="9463" width="14.140625" style="1" customWidth="1"/>
    <col min="9464" max="9464" width="18.42578125" style="1" customWidth="1"/>
    <col min="9465" max="9465" width="14.85546875" style="1" customWidth="1"/>
    <col min="9466" max="9466" width="11.7109375" style="1" customWidth="1"/>
    <col min="9467" max="9706" width="9.140625" style="1"/>
    <col min="9707" max="9707" width="5.28515625" style="1" customWidth="1"/>
    <col min="9708" max="9708" width="7" style="1" customWidth="1"/>
    <col min="9709" max="9709" width="14.7109375" style="1" customWidth="1"/>
    <col min="9710" max="9710" width="14.42578125" style="1" customWidth="1"/>
    <col min="9711" max="9711" width="8.42578125" style="1" customWidth="1"/>
    <col min="9712" max="9712" width="10.42578125" style="1" customWidth="1"/>
    <col min="9713" max="9714" width="15" style="1" customWidth="1"/>
    <col min="9715" max="9715" width="8.42578125" style="1" customWidth="1"/>
    <col min="9716" max="9716" width="35.85546875" style="1" customWidth="1"/>
    <col min="9717" max="9717" width="28.7109375" style="1" customWidth="1"/>
    <col min="9718" max="9718" width="8.7109375" style="1" customWidth="1"/>
    <col min="9719" max="9719" width="14.140625" style="1" customWidth="1"/>
    <col min="9720" max="9720" width="18.42578125" style="1" customWidth="1"/>
    <col min="9721" max="9721" width="14.85546875" style="1" customWidth="1"/>
    <col min="9722" max="9722" width="11.7109375" style="1" customWidth="1"/>
    <col min="9723" max="9962" width="9.140625" style="1"/>
    <col min="9963" max="9963" width="5.28515625" style="1" customWidth="1"/>
    <col min="9964" max="9964" width="7" style="1" customWidth="1"/>
    <col min="9965" max="9965" width="14.7109375" style="1" customWidth="1"/>
    <col min="9966" max="9966" width="14.42578125" style="1" customWidth="1"/>
    <col min="9967" max="9967" width="8.42578125" style="1" customWidth="1"/>
    <col min="9968" max="9968" width="10.42578125" style="1" customWidth="1"/>
    <col min="9969" max="9970" width="15" style="1" customWidth="1"/>
    <col min="9971" max="9971" width="8.42578125" style="1" customWidth="1"/>
    <col min="9972" max="9972" width="35.85546875" style="1" customWidth="1"/>
    <col min="9973" max="9973" width="28.7109375" style="1" customWidth="1"/>
    <col min="9974" max="9974" width="8.7109375" style="1" customWidth="1"/>
    <col min="9975" max="9975" width="14.140625" style="1" customWidth="1"/>
    <col min="9976" max="9976" width="18.42578125" style="1" customWidth="1"/>
    <col min="9977" max="9977" width="14.85546875" style="1" customWidth="1"/>
    <col min="9978" max="9978" width="11.7109375" style="1" customWidth="1"/>
    <col min="9979" max="10218" width="9.140625" style="1"/>
    <col min="10219" max="10219" width="5.28515625" style="1" customWidth="1"/>
    <col min="10220" max="10220" width="7" style="1" customWidth="1"/>
    <col min="10221" max="10221" width="14.7109375" style="1" customWidth="1"/>
    <col min="10222" max="10222" width="14.42578125" style="1" customWidth="1"/>
    <col min="10223" max="10223" width="8.42578125" style="1" customWidth="1"/>
    <col min="10224" max="10224" width="10.42578125" style="1" customWidth="1"/>
    <col min="10225" max="10226" width="15" style="1" customWidth="1"/>
    <col min="10227" max="10227" width="8.42578125" style="1" customWidth="1"/>
    <col min="10228" max="10228" width="35.85546875" style="1" customWidth="1"/>
    <col min="10229" max="10229" width="28.7109375" style="1" customWidth="1"/>
    <col min="10230" max="10230" width="8.7109375" style="1" customWidth="1"/>
    <col min="10231" max="10231" width="14.140625" style="1" customWidth="1"/>
    <col min="10232" max="10232" width="18.42578125" style="1" customWidth="1"/>
    <col min="10233" max="10233" width="14.85546875" style="1" customWidth="1"/>
    <col min="10234" max="10234" width="11.7109375" style="1" customWidth="1"/>
    <col min="10235" max="10474" width="9.140625" style="1"/>
    <col min="10475" max="10475" width="5.28515625" style="1" customWidth="1"/>
    <col min="10476" max="10476" width="7" style="1" customWidth="1"/>
    <col min="10477" max="10477" width="14.7109375" style="1" customWidth="1"/>
    <col min="10478" max="10478" width="14.42578125" style="1" customWidth="1"/>
    <col min="10479" max="10479" width="8.42578125" style="1" customWidth="1"/>
    <col min="10480" max="10480" width="10.42578125" style="1" customWidth="1"/>
    <col min="10481" max="10482" width="15" style="1" customWidth="1"/>
    <col min="10483" max="10483" width="8.42578125" style="1" customWidth="1"/>
    <col min="10484" max="10484" width="35.85546875" style="1" customWidth="1"/>
    <col min="10485" max="10485" width="28.7109375" style="1" customWidth="1"/>
    <col min="10486" max="10486" width="8.7109375" style="1" customWidth="1"/>
    <col min="10487" max="10487" width="14.140625" style="1" customWidth="1"/>
    <col min="10488" max="10488" width="18.42578125" style="1" customWidth="1"/>
    <col min="10489" max="10489" width="14.85546875" style="1" customWidth="1"/>
    <col min="10490" max="10490" width="11.7109375" style="1" customWidth="1"/>
    <col min="10491" max="10730" width="9.140625" style="1"/>
    <col min="10731" max="10731" width="5.28515625" style="1" customWidth="1"/>
    <col min="10732" max="10732" width="7" style="1" customWidth="1"/>
    <col min="10733" max="10733" width="14.7109375" style="1" customWidth="1"/>
    <col min="10734" max="10734" width="14.42578125" style="1" customWidth="1"/>
    <col min="10735" max="10735" width="8.42578125" style="1" customWidth="1"/>
    <col min="10736" max="10736" width="10.42578125" style="1" customWidth="1"/>
    <col min="10737" max="10738" width="15" style="1" customWidth="1"/>
    <col min="10739" max="10739" width="8.42578125" style="1" customWidth="1"/>
    <col min="10740" max="10740" width="35.85546875" style="1" customWidth="1"/>
    <col min="10741" max="10741" width="28.7109375" style="1" customWidth="1"/>
    <col min="10742" max="10742" width="8.7109375" style="1" customWidth="1"/>
    <col min="10743" max="10743" width="14.140625" style="1" customWidth="1"/>
    <col min="10744" max="10744" width="18.42578125" style="1" customWidth="1"/>
    <col min="10745" max="10745" width="14.85546875" style="1" customWidth="1"/>
    <col min="10746" max="10746" width="11.7109375" style="1" customWidth="1"/>
    <col min="10747" max="10986" width="9.140625" style="1"/>
    <col min="10987" max="10987" width="5.28515625" style="1" customWidth="1"/>
    <col min="10988" max="10988" width="7" style="1" customWidth="1"/>
    <col min="10989" max="10989" width="14.7109375" style="1" customWidth="1"/>
    <col min="10990" max="10990" width="14.42578125" style="1" customWidth="1"/>
    <col min="10991" max="10991" width="8.42578125" style="1" customWidth="1"/>
    <col min="10992" max="10992" width="10.42578125" style="1" customWidth="1"/>
    <col min="10993" max="10994" width="15" style="1" customWidth="1"/>
    <col min="10995" max="10995" width="8.42578125" style="1" customWidth="1"/>
    <col min="10996" max="10996" width="35.85546875" style="1" customWidth="1"/>
    <col min="10997" max="10997" width="28.7109375" style="1" customWidth="1"/>
    <col min="10998" max="10998" width="8.7109375" style="1" customWidth="1"/>
    <col min="10999" max="10999" width="14.140625" style="1" customWidth="1"/>
    <col min="11000" max="11000" width="18.42578125" style="1" customWidth="1"/>
    <col min="11001" max="11001" width="14.85546875" style="1" customWidth="1"/>
    <col min="11002" max="11002" width="11.7109375" style="1" customWidth="1"/>
    <col min="11003" max="11242" width="9.140625" style="1"/>
    <col min="11243" max="11243" width="5.28515625" style="1" customWidth="1"/>
    <col min="11244" max="11244" width="7" style="1" customWidth="1"/>
    <col min="11245" max="11245" width="14.7109375" style="1" customWidth="1"/>
    <col min="11246" max="11246" width="14.42578125" style="1" customWidth="1"/>
    <col min="11247" max="11247" width="8.42578125" style="1" customWidth="1"/>
    <col min="11248" max="11248" width="10.42578125" style="1" customWidth="1"/>
    <col min="11249" max="11250" width="15" style="1" customWidth="1"/>
    <col min="11251" max="11251" width="8.42578125" style="1" customWidth="1"/>
    <col min="11252" max="11252" width="35.85546875" style="1" customWidth="1"/>
    <col min="11253" max="11253" width="28.7109375" style="1" customWidth="1"/>
    <col min="11254" max="11254" width="8.7109375" style="1" customWidth="1"/>
    <col min="11255" max="11255" width="14.140625" style="1" customWidth="1"/>
    <col min="11256" max="11256" width="18.42578125" style="1" customWidth="1"/>
    <col min="11257" max="11257" width="14.85546875" style="1" customWidth="1"/>
    <col min="11258" max="11258" width="11.7109375" style="1" customWidth="1"/>
    <col min="11259" max="11498" width="9.140625" style="1"/>
    <col min="11499" max="11499" width="5.28515625" style="1" customWidth="1"/>
    <col min="11500" max="11500" width="7" style="1" customWidth="1"/>
    <col min="11501" max="11501" width="14.7109375" style="1" customWidth="1"/>
    <col min="11502" max="11502" width="14.42578125" style="1" customWidth="1"/>
    <col min="11503" max="11503" width="8.42578125" style="1" customWidth="1"/>
    <col min="11504" max="11504" width="10.42578125" style="1" customWidth="1"/>
    <col min="11505" max="11506" width="15" style="1" customWidth="1"/>
    <col min="11507" max="11507" width="8.42578125" style="1" customWidth="1"/>
    <col min="11508" max="11508" width="35.85546875" style="1" customWidth="1"/>
    <col min="11509" max="11509" width="28.7109375" style="1" customWidth="1"/>
    <col min="11510" max="11510" width="8.7109375" style="1" customWidth="1"/>
    <col min="11511" max="11511" width="14.140625" style="1" customWidth="1"/>
    <col min="11512" max="11512" width="18.42578125" style="1" customWidth="1"/>
    <col min="11513" max="11513" width="14.85546875" style="1" customWidth="1"/>
    <col min="11514" max="11514" width="11.7109375" style="1" customWidth="1"/>
    <col min="11515" max="11754" width="9.140625" style="1"/>
    <col min="11755" max="11755" width="5.28515625" style="1" customWidth="1"/>
    <col min="11756" max="11756" width="7" style="1" customWidth="1"/>
    <col min="11757" max="11757" width="14.7109375" style="1" customWidth="1"/>
    <col min="11758" max="11758" width="14.42578125" style="1" customWidth="1"/>
    <col min="11759" max="11759" width="8.42578125" style="1" customWidth="1"/>
    <col min="11760" max="11760" width="10.42578125" style="1" customWidth="1"/>
    <col min="11761" max="11762" width="15" style="1" customWidth="1"/>
    <col min="11763" max="11763" width="8.42578125" style="1" customWidth="1"/>
    <col min="11764" max="11764" width="35.85546875" style="1" customWidth="1"/>
    <col min="11765" max="11765" width="28.7109375" style="1" customWidth="1"/>
    <col min="11766" max="11766" width="8.7109375" style="1" customWidth="1"/>
    <col min="11767" max="11767" width="14.140625" style="1" customWidth="1"/>
    <col min="11768" max="11768" width="18.42578125" style="1" customWidth="1"/>
    <col min="11769" max="11769" width="14.85546875" style="1" customWidth="1"/>
    <col min="11770" max="11770" width="11.7109375" style="1" customWidth="1"/>
    <col min="11771" max="12010" width="9.140625" style="1"/>
    <col min="12011" max="12011" width="5.28515625" style="1" customWidth="1"/>
    <col min="12012" max="12012" width="7" style="1" customWidth="1"/>
    <col min="12013" max="12013" width="14.7109375" style="1" customWidth="1"/>
    <col min="12014" max="12014" width="14.42578125" style="1" customWidth="1"/>
    <col min="12015" max="12015" width="8.42578125" style="1" customWidth="1"/>
    <col min="12016" max="12016" width="10.42578125" style="1" customWidth="1"/>
    <col min="12017" max="12018" width="15" style="1" customWidth="1"/>
    <col min="12019" max="12019" width="8.42578125" style="1" customWidth="1"/>
    <col min="12020" max="12020" width="35.85546875" style="1" customWidth="1"/>
    <col min="12021" max="12021" width="28.7109375" style="1" customWidth="1"/>
    <col min="12022" max="12022" width="8.7109375" style="1" customWidth="1"/>
    <col min="12023" max="12023" width="14.140625" style="1" customWidth="1"/>
    <col min="12024" max="12024" width="18.42578125" style="1" customWidth="1"/>
    <col min="12025" max="12025" width="14.85546875" style="1" customWidth="1"/>
    <col min="12026" max="12026" width="11.7109375" style="1" customWidth="1"/>
    <col min="12027" max="12266" width="9.140625" style="1"/>
    <col min="12267" max="12267" width="5.28515625" style="1" customWidth="1"/>
    <col min="12268" max="12268" width="7" style="1" customWidth="1"/>
    <col min="12269" max="12269" width="14.7109375" style="1" customWidth="1"/>
    <col min="12270" max="12270" width="14.42578125" style="1" customWidth="1"/>
    <col min="12271" max="12271" width="8.42578125" style="1" customWidth="1"/>
    <col min="12272" max="12272" width="10.42578125" style="1" customWidth="1"/>
    <col min="12273" max="12274" width="15" style="1" customWidth="1"/>
    <col min="12275" max="12275" width="8.42578125" style="1" customWidth="1"/>
    <col min="12276" max="12276" width="35.85546875" style="1" customWidth="1"/>
    <col min="12277" max="12277" width="28.7109375" style="1" customWidth="1"/>
    <col min="12278" max="12278" width="8.7109375" style="1" customWidth="1"/>
    <col min="12279" max="12279" width="14.140625" style="1" customWidth="1"/>
    <col min="12280" max="12280" width="18.42578125" style="1" customWidth="1"/>
    <col min="12281" max="12281" width="14.85546875" style="1" customWidth="1"/>
    <col min="12282" max="12282" width="11.7109375" style="1" customWidth="1"/>
    <col min="12283" max="12522" width="9.140625" style="1"/>
    <col min="12523" max="12523" width="5.28515625" style="1" customWidth="1"/>
    <col min="12524" max="12524" width="7" style="1" customWidth="1"/>
    <col min="12525" max="12525" width="14.7109375" style="1" customWidth="1"/>
    <col min="12526" max="12526" width="14.42578125" style="1" customWidth="1"/>
    <col min="12527" max="12527" width="8.42578125" style="1" customWidth="1"/>
    <col min="12528" max="12528" width="10.42578125" style="1" customWidth="1"/>
    <col min="12529" max="12530" width="15" style="1" customWidth="1"/>
    <col min="12531" max="12531" width="8.42578125" style="1" customWidth="1"/>
    <col min="12532" max="12532" width="35.85546875" style="1" customWidth="1"/>
    <col min="12533" max="12533" width="28.7109375" style="1" customWidth="1"/>
    <col min="12534" max="12534" width="8.7109375" style="1" customWidth="1"/>
    <col min="12535" max="12535" width="14.140625" style="1" customWidth="1"/>
    <col min="12536" max="12536" width="18.42578125" style="1" customWidth="1"/>
    <col min="12537" max="12537" width="14.85546875" style="1" customWidth="1"/>
    <col min="12538" max="12538" width="11.7109375" style="1" customWidth="1"/>
    <col min="12539" max="12778" width="9.140625" style="1"/>
    <col min="12779" max="12779" width="5.28515625" style="1" customWidth="1"/>
    <col min="12780" max="12780" width="7" style="1" customWidth="1"/>
    <col min="12781" max="12781" width="14.7109375" style="1" customWidth="1"/>
    <col min="12782" max="12782" width="14.42578125" style="1" customWidth="1"/>
    <col min="12783" max="12783" width="8.42578125" style="1" customWidth="1"/>
    <col min="12784" max="12784" width="10.42578125" style="1" customWidth="1"/>
    <col min="12785" max="12786" width="15" style="1" customWidth="1"/>
    <col min="12787" max="12787" width="8.42578125" style="1" customWidth="1"/>
    <col min="12788" max="12788" width="35.85546875" style="1" customWidth="1"/>
    <col min="12789" max="12789" width="28.7109375" style="1" customWidth="1"/>
    <col min="12790" max="12790" width="8.7109375" style="1" customWidth="1"/>
    <col min="12791" max="12791" width="14.140625" style="1" customWidth="1"/>
    <col min="12792" max="12792" width="18.42578125" style="1" customWidth="1"/>
    <col min="12793" max="12793" width="14.85546875" style="1" customWidth="1"/>
    <col min="12794" max="12794" width="11.7109375" style="1" customWidth="1"/>
    <col min="12795" max="13034" width="9.140625" style="1"/>
    <col min="13035" max="13035" width="5.28515625" style="1" customWidth="1"/>
    <col min="13036" max="13036" width="7" style="1" customWidth="1"/>
    <col min="13037" max="13037" width="14.7109375" style="1" customWidth="1"/>
    <col min="13038" max="13038" width="14.42578125" style="1" customWidth="1"/>
    <col min="13039" max="13039" width="8.42578125" style="1" customWidth="1"/>
    <col min="13040" max="13040" width="10.42578125" style="1" customWidth="1"/>
    <col min="13041" max="13042" width="15" style="1" customWidth="1"/>
    <col min="13043" max="13043" width="8.42578125" style="1" customWidth="1"/>
    <col min="13044" max="13044" width="35.85546875" style="1" customWidth="1"/>
    <col min="13045" max="13045" width="28.7109375" style="1" customWidth="1"/>
    <col min="13046" max="13046" width="8.7109375" style="1" customWidth="1"/>
    <col min="13047" max="13047" width="14.140625" style="1" customWidth="1"/>
    <col min="13048" max="13048" width="18.42578125" style="1" customWidth="1"/>
    <col min="13049" max="13049" width="14.85546875" style="1" customWidth="1"/>
    <col min="13050" max="13050" width="11.7109375" style="1" customWidth="1"/>
    <col min="13051" max="13290" width="9.140625" style="1"/>
    <col min="13291" max="13291" width="5.28515625" style="1" customWidth="1"/>
    <col min="13292" max="13292" width="7" style="1" customWidth="1"/>
    <col min="13293" max="13293" width="14.7109375" style="1" customWidth="1"/>
    <col min="13294" max="13294" width="14.42578125" style="1" customWidth="1"/>
    <col min="13295" max="13295" width="8.42578125" style="1" customWidth="1"/>
    <col min="13296" max="13296" width="10.42578125" style="1" customWidth="1"/>
    <col min="13297" max="13298" width="15" style="1" customWidth="1"/>
    <col min="13299" max="13299" width="8.42578125" style="1" customWidth="1"/>
    <col min="13300" max="13300" width="35.85546875" style="1" customWidth="1"/>
    <col min="13301" max="13301" width="28.7109375" style="1" customWidth="1"/>
    <col min="13302" max="13302" width="8.7109375" style="1" customWidth="1"/>
    <col min="13303" max="13303" width="14.140625" style="1" customWidth="1"/>
    <col min="13304" max="13304" width="18.42578125" style="1" customWidth="1"/>
    <col min="13305" max="13305" width="14.85546875" style="1" customWidth="1"/>
    <col min="13306" max="13306" width="11.7109375" style="1" customWidth="1"/>
    <col min="13307" max="13546" width="9.140625" style="1"/>
    <col min="13547" max="13547" width="5.28515625" style="1" customWidth="1"/>
    <col min="13548" max="13548" width="7" style="1" customWidth="1"/>
    <col min="13549" max="13549" width="14.7109375" style="1" customWidth="1"/>
    <col min="13550" max="13550" width="14.42578125" style="1" customWidth="1"/>
    <col min="13551" max="13551" width="8.42578125" style="1" customWidth="1"/>
    <col min="13552" max="13552" width="10.42578125" style="1" customWidth="1"/>
    <col min="13553" max="13554" width="15" style="1" customWidth="1"/>
    <col min="13555" max="13555" width="8.42578125" style="1" customWidth="1"/>
    <col min="13556" max="13556" width="35.85546875" style="1" customWidth="1"/>
    <col min="13557" max="13557" width="28.7109375" style="1" customWidth="1"/>
    <col min="13558" max="13558" width="8.7109375" style="1" customWidth="1"/>
    <col min="13559" max="13559" width="14.140625" style="1" customWidth="1"/>
    <col min="13560" max="13560" width="18.42578125" style="1" customWidth="1"/>
    <col min="13561" max="13561" width="14.85546875" style="1" customWidth="1"/>
    <col min="13562" max="13562" width="11.7109375" style="1" customWidth="1"/>
    <col min="13563" max="13802" width="9.140625" style="1"/>
    <col min="13803" max="13803" width="5.28515625" style="1" customWidth="1"/>
    <col min="13804" max="13804" width="7" style="1" customWidth="1"/>
    <col min="13805" max="13805" width="14.7109375" style="1" customWidth="1"/>
    <col min="13806" max="13806" width="14.42578125" style="1" customWidth="1"/>
    <col min="13807" max="13807" width="8.42578125" style="1" customWidth="1"/>
    <col min="13808" max="13808" width="10.42578125" style="1" customWidth="1"/>
    <col min="13809" max="13810" width="15" style="1" customWidth="1"/>
    <col min="13811" max="13811" width="8.42578125" style="1" customWidth="1"/>
    <col min="13812" max="13812" width="35.85546875" style="1" customWidth="1"/>
    <col min="13813" max="13813" width="28.7109375" style="1" customWidth="1"/>
    <col min="13814" max="13814" width="8.7109375" style="1" customWidth="1"/>
    <col min="13815" max="13815" width="14.140625" style="1" customWidth="1"/>
    <col min="13816" max="13816" width="18.42578125" style="1" customWidth="1"/>
    <col min="13817" max="13817" width="14.85546875" style="1" customWidth="1"/>
    <col min="13818" max="13818" width="11.7109375" style="1" customWidth="1"/>
    <col min="13819" max="14058" width="9.140625" style="1"/>
    <col min="14059" max="14059" width="5.28515625" style="1" customWidth="1"/>
    <col min="14060" max="14060" width="7" style="1" customWidth="1"/>
    <col min="14061" max="14061" width="14.7109375" style="1" customWidth="1"/>
    <col min="14062" max="14062" width="14.42578125" style="1" customWidth="1"/>
    <col min="14063" max="14063" width="8.42578125" style="1" customWidth="1"/>
    <col min="14064" max="14064" width="10.42578125" style="1" customWidth="1"/>
    <col min="14065" max="14066" width="15" style="1" customWidth="1"/>
    <col min="14067" max="14067" width="8.42578125" style="1" customWidth="1"/>
    <col min="14068" max="14068" width="35.85546875" style="1" customWidth="1"/>
    <col min="14069" max="14069" width="28.7109375" style="1" customWidth="1"/>
    <col min="14070" max="14070" width="8.7109375" style="1" customWidth="1"/>
    <col min="14071" max="14071" width="14.140625" style="1" customWidth="1"/>
    <col min="14072" max="14072" width="18.42578125" style="1" customWidth="1"/>
    <col min="14073" max="14073" width="14.85546875" style="1" customWidth="1"/>
    <col min="14074" max="14074" width="11.7109375" style="1" customWidth="1"/>
    <col min="14075" max="14314" width="9.140625" style="1"/>
    <col min="14315" max="14315" width="5.28515625" style="1" customWidth="1"/>
    <col min="14316" max="14316" width="7" style="1" customWidth="1"/>
    <col min="14317" max="14317" width="14.7109375" style="1" customWidth="1"/>
    <col min="14318" max="14318" width="14.42578125" style="1" customWidth="1"/>
    <col min="14319" max="14319" width="8.42578125" style="1" customWidth="1"/>
    <col min="14320" max="14320" width="10.42578125" style="1" customWidth="1"/>
    <col min="14321" max="14322" width="15" style="1" customWidth="1"/>
    <col min="14323" max="14323" width="8.42578125" style="1" customWidth="1"/>
    <col min="14324" max="14324" width="35.85546875" style="1" customWidth="1"/>
    <col min="14325" max="14325" width="28.7109375" style="1" customWidth="1"/>
    <col min="14326" max="14326" width="8.7109375" style="1" customWidth="1"/>
    <col min="14327" max="14327" width="14.140625" style="1" customWidth="1"/>
    <col min="14328" max="14328" width="18.42578125" style="1" customWidth="1"/>
    <col min="14329" max="14329" width="14.85546875" style="1" customWidth="1"/>
    <col min="14330" max="14330" width="11.7109375" style="1" customWidth="1"/>
    <col min="14331" max="14570" width="9.140625" style="1"/>
    <col min="14571" max="14571" width="5.28515625" style="1" customWidth="1"/>
    <col min="14572" max="14572" width="7" style="1" customWidth="1"/>
    <col min="14573" max="14573" width="14.7109375" style="1" customWidth="1"/>
    <col min="14574" max="14574" width="14.42578125" style="1" customWidth="1"/>
    <col min="14575" max="14575" width="8.42578125" style="1" customWidth="1"/>
    <col min="14576" max="14576" width="10.42578125" style="1" customWidth="1"/>
    <col min="14577" max="14578" width="15" style="1" customWidth="1"/>
    <col min="14579" max="14579" width="8.42578125" style="1" customWidth="1"/>
    <col min="14580" max="14580" width="35.85546875" style="1" customWidth="1"/>
    <col min="14581" max="14581" width="28.7109375" style="1" customWidth="1"/>
    <col min="14582" max="14582" width="8.7109375" style="1" customWidth="1"/>
    <col min="14583" max="14583" width="14.140625" style="1" customWidth="1"/>
    <col min="14584" max="14584" width="18.42578125" style="1" customWidth="1"/>
    <col min="14585" max="14585" width="14.85546875" style="1" customWidth="1"/>
    <col min="14586" max="14586" width="11.7109375" style="1" customWidth="1"/>
    <col min="14587" max="14826" width="9.140625" style="1"/>
    <col min="14827" max="14827" width="5.28515625" style="1" customWidth="1"/>
    <col min="14828" max="14828" width="7" style="1" customWidth="1"/>
    <col min="14829" max="14829" width="14.7109375" style="1" customWidth="1"/>
    <col min="14830" max="14830" width="14.42578125" style="1" customWidth="1"/>
    <col min="14831" max="14831" width="8.42578125" style="1" customWidth="1"/>
    <col min="14832" max="14832" width="10.42578125" style="1" customWidth="1"/>
    <col min="14833" max="14834" width="15" style="1" customWidth="1"/>
    <col min="14835" max="14835" width="8.42578125" style="1" customWidth="1"/>
    <col min="14836" max="14836" width="35.85546875" style="1" customWidth="1"/>
    <col min="14837" max="14837" width="28.7109375" style="1" customWidth="1"/>
    <col min="14838" max="14838" width="8.7109375" style="1" customWidth="1"/>
    <col min="14839" max="14839" width="14.140625" style="1" customWidth="1"/>
    <col min="14840" max="14840" width="18.42578125" style="1" customWidth="1"/>
    <col min="14841" max="14841" width="14.85546875" style="1" customWidth="1"/>
    <col min="14842" max="14842" width="11.7109375" style="1" customWidth="1"/>
    <col min="14843" max="15082" width="9.140625" style="1"/>
    <col min="15083" max="15083" width="5.28515625" style="1" customWidth="1"/>
    <col min="15084" max="15084" width="7" style="1" customWidth="1"/>
    <col min="15085" max="15085" width="14.7109375" style="1" customWidth="1"/>
    <col min="15086" max="15086" width="14.42578125" style="1" customWidth="1"/>
    <col min="15087" max="15087" width="8.42578125" style="1" customWidth="1"/>
    <col min="15088" max="15088" width="10.42578125" style="1" customWidth="1"/>
    <col min="15089" max="15090" width="15" style="1" customWidth="1"/>
    <col min="15091" max="15091" width="8.42578125" style="1" customWidth="1"/>
    <col min="15092" max="15092" width="35.85546875" style="1" customWidth="1"/>
    <col min="15093" max="15093" width="28.7109375" style="1" customWidth="1"/>
    <col min="15094" max="15094" width="8.7109375" style="1" customWidth="1"/>
    <col min="15095" max="15095" width="14.140625" style="1" customWidth="1"/>
    <col min="15096" max="15096" width="18.42578125" style="1" customWidth="1"/>
    <col min="15097" max="15097" width="14.85546875" style="1" customWidth="1"/>
    <col min="15098" max="15098" width="11.7109375" style="1" customWidth="1"/>
    <col min="15099" max="15338" width="9.140625" style="1"/>
    <col min="15339" max="15339" width="5.28515625" style="1" customWidth="1"/>
    <col min="15340" max="15340" width="7" style="1" customWidth="1"/>
    <col min="15341" max="15341" width="14.7109375" style="1" customWidth="1"/>
    <col min="15342" max="15342" width="14.42578125" style="1" customWidth="1"/>
    <col min="15343" max="15343" width="8.42578125" style="1" customWidth="1"/>
    <col min="15344" max="15344" width="10.42578125" style="1" customWidth="1"/>
    <col min="15345" max="15346" width="15" style="1" customWidth="1"/>
    <col min="15347" max="15347" width="8.42578125" style="1" customWidth="1"/>
    <col min="15348" max="15348" width="35.85546875" style="1" customWidth="1"/>
    <col min="15349" max="15349" width="28.7109375" style="1" customWidth="1"/>
    <col min="15350" max="15350" width="8.7109375" style="1" customWidth="1"/>
    <col min="15351" max="15351" width="14.140625" style="1" customWidth="1"/>
    <col min="15352" max="15352" width="18.42578125" style="1" customWidth="1"/>
    <col min="15353" max="15353" width="14.85546875" style="1" customWidth="1"/>
    <col min="15354" max="15354" width="11.7109375" style="1" customWidth="1"/>
    <col min="15355" max="15594" width="9.140625" style="1"/>
    <col min="15595" max="15595" width="5.28515625" style="1" customWidth="1"/>
    <col min="15596" max="15596" width="7" style="1" customWidth="1"/>
    <col min="15597" max="15597" width="14.7109375" style="1" customWidth="1"/>
    <col min="15598" max="15598" width="14.42578125" style="1" customWidth="1"/>
    <col min="15599" max="15599" width="8.42578125" style="1" customWidth="1"/>
    <col min="15600" max="15600" width="10.42578125" style="1" customWidth="1"/>
    <col min="15601" max="15602" width="15" style="1" customWidth="1"/>
    <col min="15603" max="15603" width="8.42578125" style="1" customWidth="1"/>
    <col min="15604" max="15604" width="35.85546875" style="1" customWidth="1"/>
    <col min="15605" max="15605" width="28.7109375" style="1" customWidth="1"/>
    <col min="15606" max="15606" width="8.7109375" style="1" customWidth="1"/>
    <col min="15607" max="15607" width="14.140625" style="1" customWidth="1"/>
    <col min="15608" max="15608" width="18.42578125" style="1" customWidth="1"/>
    <col min="15609" max="15609" width="14.85546875" style="1" customWidth="1"/>
    <col min="15610" max="15610" width="11.7109375" style="1" customWidth="1"/>
    <col min="15611" max="15850" width="9.140625" style="1"/>
    <col min="15851" max="15851" width="5.28515625" style="1" customWidth="1"/>
    <col min="15852" max="15852" width="7" style="1" customWidth="1"/>
    <col min="15853" max="15853" width="14.7109375" style="1" customWidth="1"/>
    <col min="15854" max="15854" width="14.42578125" style="1" customWidth="1"/>
    <col min="15855" max="15855" width="8.42578125" style="1" customWidth="1"/>
    <col min="15856" max="15856" width="10.42578125" style="1" customWidth="1"/>
    <col min="15857" max="15858" width="15" style="1" customWidth="1"/>
    <col min="15859" max="15859" width="8.42578125" style="1" customWidth="1"/>
    <col min="15860" max="15860" width="35.85546875" style="1" customWidth="1"/>
    <col min="15861" max="15861" width="28.7109375" style="1" customWidth="1"/>
    <col min="15862" max="15862" width="8.7109375" style="1" customWidth="1"/>
    <col min="15863" max="15863" width="14.140625" style="1" customWidth="1"/>
    <col min="15864" max="15864" width="18.42578125" style="1" customWidth="1"/>
    <col min="15865" max="15865" width="14.85546875" style="1" customWidth="1"/>
    <col min="15866" max="15866" width="11.7109375" style="1" customWidth="1"/>
    <col min="15867" max="16106" width="9.140625" style="1"/>
    <col min="16107" max="16107" width="5.28515625" style="1" customWidth="1"/>
    <col min="16108" max="16108" width="7" style="1" customWidth="1"/>
    <col min="16109" max="16109" width="14.7109375" style="1" customWidth="1"/>
    <col min="16110" max="16110" width="14.42578125" style="1" customWidth="1"/>
    <col min="16111" max="16111" width="8.42578125" style="1" customWidth="1"/>
    <col min="16112" max="16112" width="10.42578125" style="1" customWidth="1"/>
    <col min="16113" max="16114" width="15" style="1" customWidth="1"/>
    <col min="16115" max="16115" width="8.42578125" style="1" customWidth="1"/>
    <col min="16116" max="16116" width="35.85546875" style="1" customWidth="1"/>
    <col min="16117" max="16117" width="28.7109375" style="1" customWidth="1"/>
    <col min="16118" max="16118" width="8.7109375" style="1" customWidth="1"/>
    <col min="16119" max="16119" width="14.140625" style="1" customWidth="1"/>
    <col min="16120" max="16120" width="18.42578125" style="1" customWidth="1"/>
    <col min="16121" max="16121" width="14.85546875" style="1" customWidth="1"/>
    <col min="16122" max="16122" width="11.7109375" style="1" customWidth="1"/>
    <col min="16123" max="16384" width="9.140625" style="1"/>
  </cols>
  <sheetData>
    <row r="1" spans="1:21" x14ac:dyDescent="0.25">
      <c r="Q1" s="12"/>
      <c r="R1" s="12"/>
    </row>
    <row r="2" spans="1:21" x14ac:dyDescent="0.25">
      <c r="Q2" s="13" t="s">
        <v>352</v>
      </c>
      <c r="R2" s="13">
        <v>300</v>
      </c>
    </row>
    <row r="4" spans="1:21" ht="25.5" customHeight="1" x14ac:dyDescent="0.25">
      <c r="R4" s="15"/>
      <c r="S4" s="2"/>
      <c r="T4" s="2"/>
      <c r="U4" s="2"/>
    </row>
    <row r="6" spans="1:21" ht="18.75" customHeight="1" x14ac:dyDescent="0.25">
      <c r="A6" s="17" t="s">
        <v>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21" ht="18.75" customHeight="1" x14ac:dyDescent="0.25">
      <c r="A7" s="16" t="s">
        <v>24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21" ht="10.5" customHeight="1" x14ac:dyDescent="0.25">
      <c r="A8" s="2"/>
    </row>
    <row r="9" spans="1:21" ht="36.75" customHeight="1" x14ac:dyDescent="0.25">
      <c r="A9" s="14" t="s">
        <v>1</v>
      </c>
      <c r="B9" s="14" t="s">
        <v>2</v>
      </c>
      <c r="C9" s="14" t="s">
        <v>6</v>
      </c>
      <c r="D9" s="14" t="s">
        <v>7</v>
      </c>
      <c r="E9" s="14" t="s">
        <v>354</v>
      </c>
      <c r="F9" s="14" t="s">
        <v>355</v>
      </c>
      <c r="G9" s="14" t="s">
        <v>8</v>
      </c>
      <c r="H9" s="14" t="s">
        <v>1035</v>
      </c>
      <c r="I9" s="14" t="s">
        <v>1036</v>
      </c>
      <c r="J9" s="14" t="s">
        <v>1037</v>
      </c>
      <c r="K9" s="14" t="s">
        <v>25</v>
      </c>
      <c r="L9" s="14" t="s">
        <v>26</v>
      </c>
      <c r="M9" s="14" t="s">
        <v>27</v>
      </c>
      <c r="N9" s="14" t="s">
        <v>3</v>
      </c>
      <c r="O9" s="14" t="s">
        <v>4</v>
      </c>
      <c r="P9" s="14" t="s">
        <v>28</v>
      </c>
      <c r="Q9" s="14" t="s">
        <v>29</v>
      </c>
      <c r="R9" s="14" t="s">
        <v>292</v>
      </c>
      <c r="S9" s="1" t="s">
        <v>28</v>
      </c>
      <c r="T9" s="1" t="s">
        <v>432</v>
      </c>
    </row>
    <row r="10" spans="1:21" ht="21" customHeight="1" x14ac:dyDescent="0.25">
      <c r="A10" s="4" t="s">
        <v>822</v>
      </c>
      <c r="B10" s="4" t="s">
        <v>9</v>
      </c>
      <c r="C10" s="5" t="s">
        <v>12</v>
      </c>
      <c r="D10" s="5" t="s">
        <v>12</v>
      </c>
      <c r="E10" s="5" t="s">
        <v>13</v>
      </c>
      <c r="F10" s="5" t="s">
        <v>12</v>
      </c>
      <c r="G10" s="5" t="s">
        <v>13</v>
      </c>
      <c r="H10" s="5" t="s">
        <v>5</v>
      </c>
      <c r="I10" s="5" t="s">
        <v>5</v>
      </c>
      <c r="J10" s="5" t="s">
        <v>12</v>
      </c>
      <c r="K10" s="5" t="s">
        <v>36</v>
      </c>
      <c r="L10" s="5" t="s">
        <v>37</v>
      </c>
      <c r="M10" s="5" t="s">
        <v>313</v>
      </c>
      <c r="N10" s="10">
        <v>40</v>
      </c>
      <c r="O10" s="10">
        <v>11256</v>
      </c>
      <c r="P10" s="5"/>
      <c r="Q10" s="4" t="s">
        <v>353</v>
      </c>
      <c r="R10" s="4"/>
      <c r="S10" s="1">
        <f>IF(P10="",0,1)</f>
        <v>0</v>
      </c>
      <c r="T10" s="1">
        <f>IF(B10="126",1,0)</f>
        <v>0</v>
      </c>
    </row>
    <row r="11" spans="1:21" ht="21" customHeight="1" x14ac:dyDescent="0.25">
      <c r="A11" s="4" t="s">
        <v>823</v>
      </c>
      <c r="B11" s="4" t="s">
        <v>9</v>
      </c>
      <c r="C11" s="5" t="s">
        <v>12</v>
      </c>
      <c r="D11" s="5" t="s">
        <v>12</v>
      </c>
      <c r="E11" s="5" t="s">
        <v>13</v>
      </c>
      <c r="F11" s="5" t="s">
        <v>12</v>
      </c>
      <c r="G11" s="5" t="s">
        <v>13</v>
      </c>
      <c r="H11" s="5" t="s">
        <v>5</v>
      </c>
      <c r="I11" s="5" t="s">
        <v>5</v>
      </c>
      <c r="J11" s="5" t="s">
        <v>12</v>
      </c>
      <c r="K11" s="5" t="s">
        <v>38</v>
      </c>
      <c r="L11" s="5" t="s">
        <v>39</v>
      </c>
      <c r="M11" s="5" t="s">
        <v>448</v>
      </c>
      <c r="N11" s="10">
        <v>6</v>
      </c>
      <c r="O11" s="10">
        <v>1730</v>
      </c>
      <c r="P11" s="5"/>
      <c r="Q11" s="4" t="s">
        <v>353</v>
      </c>
      <c r="R11" s="4"/>
      <c r="S11" s="1">
        <f>IF(P11="",0,1)</f>
        <v>0</v>
      </c>
      <c r="T11" s="1">
        <f>IF(B11="126",1,0)</f>
        <v>0</v>
      </c>
    </row>
    <row r="12" spans="1:21" ht="21" customHeight="1" x14ac:dyDescent="0.25">
      <c r="A12" s="4" t="s">
        <v>824</v>
      </c>
      <c r="B12" s="4" t="s">
        <v>9</v>
      </c>
      <c r="C12" s="5" t="s">
        <v>12</v>
      </c>
      <c r="D12" s="5" t="s">
        <v>12</v>
      </c>
      <c r="E12" s="5" t="s">
        <v>13</v>
      </c>
      <c r="F12" s="5" t="s">
        <v>12</v>
      </c>
      <c r="G12" s="5" t="s">
        <v>13</v>
      </c>
      <c r="H12" s="5" t="s">
        <v>5</v>
      </c>
      <c r="I12" s="5" t="s">
        <v>5</v>
      </c>
      <c r="J12" s="5" t="s">
        <v>12</v>
      </c>
      <c r="K12" s="5" t="s">
        <v>41</v>
      </c>
      <c r="L12" s="5" t="s">
        <v>42</v>
      </c>
      <c r="M12" s="5" t="s">
        <v>315</v>
      </c>
      <c r="N12" s="10">
        <v>19</v>
      </c>
      <c r="O12" s="10">
        <v>5630</v>
      </c>
      <c r="P12" s="5"/>
      <c r="Q12" s="4" t="s">
        <v>353</v>
      </c>
      <c r="R12" s="4"/>
      <c r="S12" s="1">
        <f>IF(P12="",0,1)</f>
        <v>0</v>
      </c>
      <c r="T12" s="1">
        <f>IF(B12="126",1,0)</f>
        <v>0</v>
      </c>
    </row>
    <row r="13" spans="1:21" ht="21" customHeight="1" x14ac:dyDescent="0.25">
      <c r="A13" s="4" t="s">
        <v>825</v>
      </c>
      <c r="B13" s="4" t="s">
        <v>9</v>
      </c>
      <c r="C13" s="5" t="s">
        <v>12</v>
      </c>
      <c r="D13" s="5" t="s">
        <v>12</v>
      </c>
      <c r="E13" s="5" t="s">
        <v>13</v>
      </c>
      <c r="F13" s="5" t="s">
        <v>12</v>
      </c>
      <c r="G13" s="5" t="s">
        <v>13</v>
      </c>
      <c r="H13" s="5" t="s">
        <v>5</v>
      </c>
      <c r="I13" s="5" t="s">
        <v>5</v>
      </c>
      <c r="J13" s="5" t="s">
        <v>12</v>
      </c>
      <c r="K13" s="5" t="s">
        <v>43</v>
      </c>
      <c r="L13" s="5" t="s">
        <v>44</v>
      </c>
      <c r="M13" s="5" t="s">
        <v>45</v>
      </c>
      <c r="N13" s="10">
        <v>15</v>
      </c>
      <c r="O13" s="10">
        <v>4430</v>
      </c>
      <c r="P13" s="5"/>
      <c r="Q13" s="4" t="s">
        <v>353</v>
      </c>
      <c r="R13" s="4"/>
      <c r="S13" s="1">
        <f>IF(P13="",0,1)</f>
        <v>0</v>
      </c>
      <c r="T13" s="1">
        <f>IF(B13="126",1,0)</f>
        <v>0</v>
      </c>
    </row>
    <row r="14" spans="1:21" ht="21" customHeight="1" x14ac:dyDescent="0.25">
      <c r="A14" s="4" t="s">
        <v>826</v>
      </c>
      <c r="B14" s="4" t="s">
        <v>9</v>
      </c>
      <c r="C14" s="5" t="s">
        <v>12</v>
      </c>
      <c r="D14" s="5" t="s">
        <v>12</v>
      </c>
      <c r="E14" s="5" t="s">
        <v>13</v>
      </c>
      <c r="F14" s="5" t="s">
        <v>12</v>
      </c>
      <c r="G14" s="5" t="s">
        <v>13</v>
      </c>
      <c r="H14" s="5" t="s">
        <v>5</v>
      </c>
      <c r="I14" s="5" t="s">
        <v>5</v>
      </c>
      <c r="J14" s="5" t="s">
        <v>12</v>
      </c>
      <c r="K14" s="5" t="s">
        <v>46</v>
      </c>
      <c r="L14" s="5" t="s">
        <v>47</v>
      </c>
      <c r="M14" s="5" t="s">
        <v>314</v>
      </c>
      <c r="N14" s="10">
        <v>34</v>
      </c>
      <c r="O14" s="10">
        <v>10130</v>
      </c>
      <c r="P14" s="5"/>
      <c r="Q14" s="4" t="s">
        <v>353</v>
      </c>
      <c r="R14" s="4"/>
      <c r="S14" s="1">
        <f>IF(P14="",0,1)</f>
        <v>0</v>
      </c>
      <c r="T14" s="1">
        <f>IF(B14="126",1,0)</f>
        <v>0</v>
      </c>
    </row>
    <row r="15" spans="1:21" ht="21" customHeight="1" x14ac:dyDescent="0.25">
      <c r="A15" s="4" t="s">
        <v>827</v>
      </c>
      <c r="B15" s="4" t="s">
        <v>9</v>
      </c>
      <c r="C15" s="5" t="s">
        <v>12</v>
      </c>
      <c r="D15" s="5" t="s">
        <v>12</v>
      </c>
      <c r="E15" s="5" t="s">
        <v>13</v>
      </c>
      <c r="F15" s="5" t="s">
        <v>12</v>
      </c>
      <c r="G15" s="5" t="s">
        <v>13</v>
      </c>
      <c r="H15" s="5" t="s">
        <v>5</v>
      </c>
      <c r="I15" s="5" t="s">
        <v>5</v>
      </c>
      <c r="J15" s="5" t="s">
        <v>12</v>
      </c>
      <c r="K15" s="5" t="s">
        <v>48</v>
      </c>
      <c r="L15" s="5" t="s">
        <v>349</v>
      </c>
      <c r="M15" s="5" t="s">
        <v>49</v>
      </c>
      <c r="N15" s="10">
        <v>11</v>
      </c>
      <c r="O15" s="10">
        <v>3252</v>
      </c>
      <c r="P15" s="5"/>
      <c r="Q15" s="4" t="s">
        <v>353</v>
      </c>
      <c r="R15" s="4"/>
      <c r="S15" s="1">
        <f>IF(P15="",0,1)</f>
        <v>0</v>
      </c>
      <c r="T15" s="1">
        <f>IF(B15="126",1,0)</f>
        <v>0</v>
      </c>
    </row>
    <row r="16" spans="1:21" ht="21" customHeight="1" x14ac:dyDescent="0.25">
      <c r="A16" s="4" t="s">
        <v>828</v>
      </c>
      <c r="B16" s="4" t="s">
        <v>9</v>
      </c>
      <c r="C16" s="5" t="s">
        <v>12</v>
      </c>
      <c r="D16" s="5" t="s">
        <v>12</v>
      </c>
      <c r="E16" s="5" t="s">
        <v>13</v>
      </c>
      <c r="F16" s="5" t="s">
        <v>12</v>
      </c>
      <c r="G16" s="5" t="s">
        <v>13</v>
      </c>
      <c r="H16" s="5" t="s">
        <v>5</v>
      </c>
      <c r="I16" s="5" t="s">
        <v>5</v>
      </c>
      <c r="J16" s="5" t="s">
        <v>12</v>
      </c>
      <c r="K16" s="5" t="s">
        <v>50</v>
      </c>
      <c r="L16" s="5" t="s">
        <v>51</v>
      </c>
      <c r="M16" s="5" t="s">
        <v>408</v>
      </c>
      <c r="N16" s="10">
        <v>16</v>
      </c>
      <c r="O16" s="10">
        <v>4730</v>
      </c>
      <c r="P16" s="5"/>
      <c r="Q16" s="4" t="s">
        <v>353</v>
      </c>
      <c r="R16" s="4"/>
      <c r="S16" s="1">
        <f>IF(P16="",0,1)</f>
        <v>0</v>
      </c>
      <c r="T16" s="1">
        <f>IF(B16="126",1,0)</f>
        <v>0</v>
      </c>
    </row>
    <row r="17" spans="1:20" ht="21" customHeight="1" x14ac:dyDescent="0.25">
      <c r="A17" s="4" t="s">
        <v>829</v>
      </c>
      <c r="B17" s="4" t="s">
        <v>9</v>
      </c>
      <c r="C17" s="5" t="s">
        <v>12</v>
      </c>
      <c r="D17" s="5" t="s">
        <v>12</v>
      </c>
      <c r="E17" s="5" t="s">
        <v>13</v>
      </c>
      <c r="F17" s="5" t="s">
        <v>12</v>
      </c>
      <c r="G17" s="5" t="s">
        <v>13</v>
      </c>
      <c r="H17" s="5" t="s">
        <v>5</v>
      </c>
      <c r="I17" s="5" t="s">
        <v>5</v>
      </c>
      <c r="J17" s="5" t="s">
        <v>12</v>
      </c>
      <c r="K17" s="5" t="s">
        <v>52</v>
      </c>
      <c r="L17" s="5" t="s">
        <v>449</v>
      </c>
      <c r="M17" s="5" t="s">
        <v>314</v>
      </c>
      <c r="N17" s="10">
        <v>25</v>
      </c>
      <c r="O17" s="10">
        <v>7430</v>
      </c>
      <c r="P17" s="5"/>
      <c r="Q17" s="4" t="s">
        <v>353</v>
      </c>
      <c r="R17" s="4"/>
      <c r="S17" s="1">
        <f>IF(P17="",0,1)</f>
        <v>0</v>
      </c>
      <c r="T17" s="1">
        <f>IF(B17="126",1,0)</f>
        <v>0</v>
      </c>
    </row>
    <row r="18" spans="1:20" ht="21" customHeight="1" x14ac:dyDescent="0.25">
      <c r="A18" s="4" t="s">
        <v>830</v>
      </c>
      <c r="B18" s="4" t="s">
        <v>9</v>
      </c>
      <c r="C18" s="5" t="s">
        <v>12</v>
      </c>
      <c r="D18" s="5" t="s">
        <v>12</v>
      </c>
      <c r="E18" s="5" t="s">
        <v>13</v>
      </c>
      <c r="F18" s="5" t="s">
        <v>12</v>
      </c>
      <c r="G18" s="5" t="s">
        <v>13</v>
      </c>
      <c r="H18" s="5" t="s">
        <v>5</v>
      </c>
      <c r="I18" s="5" t="s">
        <v>5</v>
      </c>
      <c r="J18" s="5" t="s">
        <v>12</v>
      </c>
      <c r="K18" s="5" t="s">
        <v>53</v>
      </c>
      <c r="L18" s="5" t="s">
        <v>54</v>
      </c>
      <c r="M18" s="5" t="s">
        <v>316</v>
      </c>
      <c r="N18" s="10">
        <v>23</v>
      </c>
      <c r="O18" s="10">
        <v>6830</v>
      </c>
      <c r="P18" s="5"/>
      <c r="Q18" s="4" t="s">
        <v>353</v>
      </c>
      <c r="R18" s="4"/>
      <c r="S18" s="1">
        <f>IF(P18="",0,1)</f>
        <v>0</v>
      </c>
      <c r="T18" s="1">
        <f>IF(B18="126",1,0)</f>
        <v>0</v>
      </c>
    </row>
    <row r="19" spans="1:20" ht="21" customHeight="1" x14ac:dyDescent="0.25">
      <c r="A19" s="4" t="s">
        <v>831</v>
      </c>
      <c r="B19" s="4" t="s">
        <v>9</v>
      </c>
      <c r="C19" s="5" t="s">
        <v>12</v>
      </c>
      <c r="D19" s="5" t="s">
        <v>12</v>
      </c>
      <c r="E19" s="5" t="s">
        <v>13</v>
      </c>
      <c r="F19" s="5" t="s">
        <v>12</v>
      </c>
      <c r="G19" s="5" t="s">
        <v>13</v>
      </c>
      <c r="H19" s="5" t="s">
        <v>5</v>
      </c>
      <c r="I19" s="5" t="s">
        <v>5</v>
      </c>
      <c r="J19" s="5" t="s">
        <v>12</v>
      </c>
      <c r="K19" s="5" t="s">
        <v>409</v>
      </c>
      <c r="L19" s="5" t="s">
        <v>40</v>
      </c>
      <c r="M19" s="5" t="s">
        <v>450</v>
      </c>
      <c r="N19" s="10">
        <v>10</v>
      </c>
      <c r="O19" s="10">
        <v>2930</v>
      </c>
      <c r="P19" s="5"/>
      <c r="Q19" s="4" t="s">
        <v>353</v>
      </c>
      <c r="R19" s="4"/>
      <c r="S19" s="1">
        <f>IF(P19="",0,1)</f>
        <v>0</v>
      </c>
      <c r="T19" s="1">
        <f>IF(B19="126",1,0)</f>
        <v>0</v>
      </c>
    </row>
    <row r="20" spans="1:20" ht="21" customHeight="1" x14ac:dyDescent="0.25">
      <c r="A20" s="4" t="s">
        <v>832</v>
      </c>
      <c r="B20" s="4" t="s">
        <v>9</v>
      </c>
      <c r="C20" s="5" t="s">
        <v>12</v>
      </c>
      <c r="D20" s="5" t="s">
        <v>12</v>
      </c>
      <c r="E20" s="5" t="s">
        <v>13</v>
      </c>
      <c r="F20" s="5" t="s">
        <v>12</v>
      </c>
      <c r="G20" s="5" t="s">
        <v>13</v>
      </c>
      <c r="H20" s="5" t="s">
        <v>5</v>
      </c>
      <c r="I20" s="5" t="s">
        <v>5</v>
      </c>
      <c r="J20" s="5" t="s">
        <v>12</v>
      </c>
      <c r="K20" s="5" t="s">
        <v>410</v>
      </c>
      <c r="L20" s="5" t="s">
        <v>411</v>
      </c>
      <c r="M20" s="5" t="s">
        <v>412</v>
      </c>
      <c r="N20" s="10">
        <v>12</v>
      </c>
      <c r="O20" s="10">
        <v>3530</v>
      </c>
      <c r="P20" s="5"/>
      <c r="Q20" s="4" t="s">
        <v>353</v>
      </c>
      <c r="R20" s="4"/>
      <c r="S20" s="1">
        <f>IF(P20="",0,1)</f>
        <v>0</v>
      </c>
      <c r="T20" s="1">
        <f>IF(B20="126",1,0)</f>
        <v>0</v>
      </c>
    </row>
    <row r="21" spans="1:20" ht="21" customHeight="1" x14ac:dyDescent="0.25">
      <c r="A21" s="4" t="s">
        <v>833</v>
      </c>
      <c r="B21" s="4" t="s">
        <v>9</v>
      </c>
      <c r="C21" s="5" t="s">
        <v>12</v>
      </c>
      <c r="D21" s="5" t="s">
        <v>12</v>
      </c>
      <c r="E21" s="5" t="s">
        <v>13</v>
      </c>
      <c r="F21" s="5" t="s">
        <v>12</v>
      </c>
      <c r="G21" s="5" t="s">
        <v>13</v>
      </c>
      <c r="H21" s="5" t="s">
        <v>5</v>
      </c>
      <c r="I21" s="5" t="s">
        <v>5</v>
      </c>
      <c r="J21" s="5" t="s">
        <v>12</v>
      </c>
      <c r="K21" s="5" t="s">
        <v>413</v>
      </c>
      <c r="L21" s="5" t="s">
        <v>451</v>
      </c>
      <c r="M21" s="5" t="s">
        <v>452</v>
      </c>
      <c r="N21" s="10">
        <v>11</v>
      </c>
      <c r="O21" s="10">
        <v>3258</v>
      </c>
      <c r="P21" s="5"/>
      <c r="Q21" s="4" t="s">
        <v>353</v>
      </c>
      <c r="R21" s="4"/>
      <c r="S21" s="1">
        <f>IF(P21="",0,1)</f>
        <v>0</v>
      </c>
      <c r="T21" s="1">
        <f>IF(B21="126",1,0)</f>
        <v>0</v>
      </c>
    </row>
    <row r="22" spans="1:20" ht="21" customHeight="1" x14ac:dyDescent="0.25">
      <c r="A22" s="4" t="s">
        <v>834</v>
      </c>
      <c r="B22" s="4" t="s">
        <v>9</v>
      </c>
      <c r="C22" s="5" t="s">
        <v>12</v>
      </c>
      <c r="D22" s="5" t="s">
        <v>12</v>
      </c>
      <c r="E22" s="5" t="s">
        <v>13</v>
      </c>
      <c r="F22" s="5" t="s">
        <v>12</v>
      </c>
      <c r="G22" s="5" t="s">
        <v>13</v>
      </c>
      <c r="H22" s="5" t="s">
        <v>5</v>
      </c>
      <c r="I22" s="5" t="s">
        <v>5</v>
      </c>
      <c r="J22" s="5" t="s">
        <v>12</v>
      </c>
      <c r="K22" s="5" t="s">
        <v>453</v>
      </c>
      <c r="L22" s="5" t="s">
        <v>454</v>
      </c>
      <c r="M22" s="5" t="s">
        <v>455</v>
      </c>
      <c r="N22" s="10">
        <v>21</v>
      </c>
      <c r="O22" s="10">
        <v>6160</v>
      </c>
      <c r="P22" s="5"/>
      <c r="Q22" s="4" t="s">
        <v>353</v>
      </c>
      <c r="R22" s="4"/>
      <c r="S22" s="1">
        <f>IF(P22="",0,1)</f>
        <v>0</v>
      </c>
      <c r="T22" s="1">
        <f>IF(B22="126",1,0)</f>
        <v>0</v>
      </c>
    </row>
    <row r="23" spans="1:20" ht="21" customHeight="1" x14ac:dyDescent="0.25">
      <c r="A23" s="4" t="s">
        <v>859</v>
      </c>
      <c r="B23" s="4" t="s">
        <v>10</v>
      </c>
      <c r="C23" s="5" t="s">
        <v>5</v>
      </c>
      <c r="D23" s="5" t="s">
        <v>5</v>
      </c>
      <c r="E23" s="5" t="s">
        <v>14</v>
      </c>
      <c r="F23" s="5" t="s">
        <v>5</v>
      </c>
      <c r="G23" s="5" t="s">
        <v>14</v>
      </c>
      <c r="H23" s="5" t="s">
        <v>5</v>
      </c>
      <c r="I23" s="5" t="s">
        <v>5</v>
      </c>
      <c r="J23" s="5" t="s">
        <v>5</v>
      </c>
      <c r="K23" s="5" t="s">
        <v>55</v>
      </c>
      <c r="L23" s="5" t="s">
        <v>493</v>
      </c>
      <c r="M23" s="5" t="s">
        <v>494</v>
      </c>
      <c r="N23" s="10">
        <v>12</v>
      </c>
      <c r="O23" s="10">
        <v>3588</v>
      </c>
      <c r="P23" s="5"/>
      <c r="Q23" s="4" t="s">
        <v>353</v>
      </c>
      <c r="R23" s="4"/>
      <c r="S23" s="1">
        <f>IF(P23="",0,1)</f>
        <v>0</v>
      </c>
      <c r="T23" s="1">
        <f>IF(B23="126",1,0)</f>
        <v>0</v>
      </c>
    </row>
    <row r="24" spans="1:20" ht="21" customHeight="1" x14ac:dyDescent="0.25">
      <c r="A24" s="4" t="s">
        <v>860</v>
      </c>
      <c r="B24" s="4" t="s">
        <v>10</v>
      </c>
      <c r="C24" s="5" t="s">
        <v>5</v>
      </c>
      <c r="D24" s="5" t="s">
        <v>5</v>
      </c>
      <c r="E24" s="5" t="s">
        <v>14</v>
      </c>
      <c r="F24" s="5" t="s">
        <v>5</v>
      </c>
      <c r="G24" s="5" t="s">
        <v>14</v>
      </c>
      <c r="H24" s="5" t="s">
        <v>5</v>
      </c>
      <c r="I24" s="5" t="s">
        <v>5</v>
      </c>
      <c r="J24" s="5" t="s">
        <v>5</v>
      </c>
      <c r="K24" s="5" t="s">
        <v>495</v>
      </c>
      <c r="L24" s="5" t="s">
        <v>496</v>
      </c>
      <c r="M24" s="5" t="s">
        <v>497</v>
      </c>
      <c r="N24" s="10">
        <v>6</v>
      </c>
      <c r="O24" s="10">
        <v>1794</v>
      </c>
      <c r="P24" s="5"/>
      <c r="Q24" s="4" t="s">
        <v>353</v>
      </c>
      <c r="R24" s="4"/>
      <c r="S24" s="1">
        <f>IF(P24="",0,1)</f>
        <v>0</v>
      </c>
      <c r="T24" s="1">
        <f>IF(B24="126",1,0)</f>
        <v>0</v>
      </c>
    </row>
    <row r="25" spans="1:20" ht="21" customHeight="1" x14ac:dyDescent="0.25">
      <c r="A25" s="4" t="s">
        <v>861</v>
      </c>
      <c r="B25" s="4" t="s">
        <v>10</v>
      </c>
      <c r="C25" s="5" t="s">
        <v>5</v>
      </c>
      <c r="D25" s="5" t="s">
        <v>5</v>
      </c>
      <c r="E25" s="5" t="s">
        <v>14</v>
      </c>
      <c r="F25" s="5" t="s">
        <v>5</v>
      </c>
      <c r="G25" s="5" t="s">
        <v>14</v>
      </c>
      <c r="H25" s="5" t="s">
        <v>5</v>
      </c>
      <c r="I25" s="5" t="s">
        <v>5</v>
      </c>
      <c r="J25" s="5" t="s">
        <v>5</v>
      </c>
      <c r="K25" s="5" t="s">
        <v>56</v>
      </c>
      <c r="L25" s="5" t="s">
        <v>498</v>
      </c>
      <c r="M25" s="5" t="s">
        <v>303</v>
      </c>
      <c r="N25" s="10">
        <v>24</v>
      </c>
      <c r="O25" s="10">
        <v>7176</v>
      </c>
      <c r="P25" s="5"/>
      <c r="Q25" s="4" t="s">
        <v>353</v>
      </c>
      <c r="R25" s="4"/>
      <c r="S25" s="1">
        <f>IF(P25="",0,1)</f>
        <v>0</v>
      </c>
      <c r="T25" s="1">
        <f>IF(B25="126",1,0)</f>
        <v>0</v>
      </c>
    </row>
    <row r="26" spans="1:20" ht="21" customHeight="1" x14ac:dyDescent="0.25">
      <c r="A26" s="4" t="s">
        <v>862</v>
      </c>
      <c r="B26" s="4" t="s">
        <v>10</v>
      </c>
      <c r="C26" s="5" t="s">
        <v>5</v>
      </c>
      <c r="D26" s="5" t="s">
        <v>5</v>
      </c>
      <c r="E26" s="5" t="s">
        <v>14</v>
      </c>
      <c r="F26" s="5" t="s">
        <v>5</v>
      </c>
      <c r="G26" s="5" t="s">
        <v>14</v>
      </c>
      <c r="H26" s="5" t="s">
        <v>5</v>
      </c>
      <c r="I26" s="5" t="s">
        <v>5</v>
      </c>
      <c r="J26" s="5" t="s">
        <v>5</v>
      </c>
      <c r="K26" s="5" t="s">
        <v>499</v>
      </c>
      <c r="L26" s="5" t="s">
        <v>500</v>
      </c>
      <c r="M26" s="5" t="s">
        <v>501</v>
      </c>
      <c r="N26" s="10">
        <v>34</v>
      </c>
      <c r="O26" s="10">
        <v>10166</v>
      </c>
      <c r="P26" s="5"/>
      <c r="Q26" s="4" t="s">
        <v>353</v>
      </c>
      <c r="R26" s="4"/>
      <c r="S26" s="1">
        <f>IF(P26="",0,1)</f>
        <v>0</v>
      </c>
      <c r="T26" s="1">
        <f>IF(B26="126",1,0)</f>
        <v>0</v>
      </c>
    </row>
    <row r="27" spans="1:20" ht="21" customHeight="1" x14ac:dyDescent="0.25">
      <c r="A27" s="4" t="s">
        <v>863</v>
      </c>
      <c r="B27" s="4" t="s">
        <v>10</v>
      </c>
      <c r="C27" s="5" t="s">
        <v>5</v>
      </c>
      <c r="D27" s="5" t="s">
        <v>5</v>
      </c>
      <c r="E27" s="5" t="s">
        <v>14</v>
      </c>
      <c r="F27" s="5" t="s">
        <v>5</v>
      </c>
      <c r="G27" s="5" t="s">
        <v>14</v>
      </c>
      <c r="H27" s="5" t="s">
        <v>5</v>
      </c>
      <c r="I27" s="5" t="s">
        <v>5</v>
      </c>
      <c r="J27" s="5" t="s">
        <v>5</v>
      </c>
      <c r="K27" s="5" t="s">
        <v>502</v>
      </c>
      <c r="L27" s="5" t="s">
        <v>503</v>
      </c>
      <c r="M27" s="5" t="s">
        <v>121</v>
      </c>
      <c r="N27" s="10">
        <v>8</v>
      </c>
      <c r="O27" s="10">
        <v>2392</v>
      </c>
      <c r="P27" s="5"/>
      <c r="Q27" s="4" t="s">
        <v>353</v>
      </c>
      <c r="R27" s="4"/>
      <c r="S27" s="1">
        <f>IF(P27="",0,1)</f>
        <v>0</v>
      </c>
      <c r="T27" s="1">
        <f>IF(B27="126",1,0)</f>
        <v>0</v>
      </c>
    </row>
    <row r="28" spans="1:20" ht="21" customHeight="1" x14ac:dyDescent="0.25">
      <c r="A28" s="4" t="s">
        <v>864</v>
      </c>
      <c r="B28" s="4" t="s">
        <v>10</v>
      </c>
      <c r="C28" s="5" t="s">
        <v>5</v>
      </c>
      <c r="D28" s="5" t="s">
        <v>5</v>
      </c>
      <c r="E28" s="5" t="s">
        <v>14</v>
      </c>
      <c r="F28" s="5" t="s">
        <v>5</v>
      </c>
      <c r="G28" s="5" t="s">
        <v>14</v>
      </c>
      <c r="H28" s="5" t="s">
        <v>5</v>
      </c>
      <c r="I28" s="5" t="s">
        <v>5</v>
      </c>
      <c r="J28" s="5" t="s">
        <v>5</v>
      </c>
      <c r="K28" s="5" t="s">
        <v>504</v>
      </c>
      <c r="L28" s="5" t="s">
        <v>505</v>
      </c>
      <c r="M28" s="5" t="s">
        <v>244</v>
      </c>
      <c r="N28" s="10">
        <v>8</v>
      </c>
      <c r="O28" s="10">
        <v>2392</v>
      </c>
      <c r="P28" s="5"/>
      <c r="Q28" s="4" t="s">
        <v>353</v>
      </c>
      <c r="R28" s="4"/>
      <c r="S28" s="1">
        <f>IF(P28="",0,1)</f>
        <v>0</v>
      </c>
      <c r="T28" s="1">
        <f>IF(B28="126",1,0)</f>
        <v>0</v>
      </c>
    </row>
    <row r="29" spans="1:20" ht="21" customHeight="1" x14ac:dyDescent="0.25">
      <c r="A29" s="4" t="s">
        <v>865</v>
      </c>
      <c r="B29" s="4" t="s">
        <v>10</v>
      </c>
      <c r="C29" s="5" t="s">
        <v>5</v>
      </c>
      <c r="D29" s="5" t="s">
        <v>5</v>
      </c>
      <c r="E29" s="5" t="s">
        <v>14</v>
      </c>
      <c r="F29" s="5" t="s">
        <v>5</v>
      </c>
      <c r="G29" s="5" t="s">
        <v>14</v>
      </c>
      <c r="H29" s="5" t="s">
        <v>5</v>
      </c>
      <c r="I29" s="5" t="s">
        <v>5</v>
      </c>
      <c r="J29" s="5" t="s">
        <v>5</v>
      </c>
      <c r="K29" s="5" t="s">
        <v>506</v>
      </c>
      <c r="L29" s="5" t="s">
        <v>507</v>
      </c>
      <c r="M29" s="5" t="s">
        <v>357</v>
      </c>
      <c r="N29" s="10">
        <v>12</v>
      </c>
      <c r="O29" s="10">
        <v>3588</v>
      </c>
      <c r="P29" s="5"/>
      <c r="Q29" s="4" t="s">
        <v>353</v>
      </c>
      <c r="R29" s="4"/>
      <c r="S29" s="1">
        <f>IF(P29="",0,1)</f>
        <v>0</v>
      </c>
      <c r="T29" s="1">
        <f>IF(B29="126",1,0)</f>
        <v>0</v>
      </c>
    </row>
    <row r="30" spans="1:20" ht="21" customHeight="1" x14ac:dyDescent="0.25">
      <c r="A30" s="4" t="s">
        <v>866</v>
      </c>
      <c r="B30" s="4" t="s">
        <v>10</v>
      </c>
      <c r="C30" s="5" t="s">
        <v>5</v>
      </c>
      <c r="D30" s="5" t="s">
        <v>5</v>
      </c>
      <c r="E30" s="5" t="s">
        <v>14</v>
      </c>
      <c r="F30" s="5" t="s">
        <v>5</v>
      </c>
      <c r="G30" s="5" t="s">
        <v>14</v>
      </c>
      <c r="H30" s="5" t="s">
        <v>5</v>
      </c>
      <c r="I30" s="5" t="s">
        <v>5</v>
      </c>
      <c r="J30" s="5" t="s">
        <v>5</v>
      </c>
      <c r="K30" s="5" t="s">
        <v>57</v>
      </c>
      <c r="L30" s="5" t="s">
        <v>343</v>
      </c>
      <c r="M30" s="5" t="s">
        <v>358</v>
      </c>
      <c r="N30" s="10">
        <v>5</v>
      </c>
      <c r="O30" s="10">
        <v>1495</v>
      </c>
      <c r="P30" s="5"/>
      <c r="Q30" s="4" t="s">
        <v>353</v>
      </c>
      <c r="R30" s="4"/>
      <c r="S30" s="1">
        <f>IF(P30="",0,1)</f>
        <v>0</v>
      </c>
      <c r="T30" s="1">
        <f>IF(B30="126",1,0)</f>
        <v>0</v>
      </c>
    </row>
    <row r="31" spans="1:20" ht="21" customHeight="1" x14ac:dyDescent="0.25">
      <c r="A31" s="4" t="s">
        <v>867</v>
      </c>
      <c r="B31" s="4" t="s">
        <v>10</v>
      </c>
      <c r="C31" s="5" t="s">
        <v>5</v>
      </c>
      <c r="D31" s="5" t="s">
        <v>5</v>
      </c>
      <c r="E31" s="5" t="s">
        <v>14</v>
      </c>
      <c r="F31" s="5" t="s">
        <v>5</v>
      </c>
      <c r="G31" s="5" t="s">
        <v>14</v>
      </c>
      <c r="H31" s="5" t="s">
        <v>5</v>
      </c>
      <c r="I31" s="5" t="s">
        <v>5</v>
      </c>
      <c r="J31" s="5" t="s">
        <v>5</v>
      </c>
      <c r="K31" s="5" t="s">
        <v>58</v>
      </c>
      <c r="L31" s="5" t="s">
        <v>508</v>
      </c>
      <c r="M31" s="5" t="s">
        <v>356</v>
      </c>
      <c r="N31" s="10">
        <v>14</v>
      </c>
      <c r="O31" s="10">
        <v>4186</v>
      </c>
      <c r="P31" s="5"/>
      <c r="Q31" s="4" t="s">
        <v>353</v>
      </c>
      <c r="R31" s="4"/>
      <c r="S31" s="1">
        <f>IF(P31="",0,1)</f>
        <v>0</v>
      </c>
      <c r="T31" s="1">
        <f>IF(B31="126",1,0)</f>
        <v>0</v>
      </c>
    </row>
    <row r="32" spans="1:20" ht="21" customHeight="1" x14ac:dyDescent="0.25">
      <c r="A32" s="4" t="s">
        <v>868</v>
      </c>
      <c r="B32" s="4" t="s">
        <v>10</v>
      </c>
      <c r="C32" s="5" t="s">
        <v>5</v>
      </c>
      <c r="D32" s="5" t="s">
        <v>5</v>
      </c>
      <c r="E32" s="5" t="s">
        <v>14</v>
      </c>
      <c r="F32" s="5" t="s">
        <v>5</v>
      </c>
      <c r="G32" s="5" t="s">
        <v>14</v>
      </c>
      <c r="H32" s="5" t="s">
        <v>5</v>
      </c>
      <c r="I32" s="5" t="s">
        <v>5</v>
      </c>
      <c r="J32" s="5" t="s">
        <v>5</v>
      </c>
      <c r="K32" s="5" t="s">
        <v>59</v>
      </c>
      <c r="L32" s="5" t="s">
        <v>509</v>
      </c>
      <c r="M32" s="5" t="s">
        <v>510</v>
      </c>
      <c r="N32" s="10">
        <v>8</v>
      </c>
      <c r="O32" s="10">
        <v>2392</v>
      </c>
      <c r="P32" s="5"/>
      <c r="Q32" s="4" t="s">
        <v>353</v>
      </c>
      <c r="R32" s="4"/>
      <c r="S32" s="1">
        <f>IF(P32="",0,1)</f>
        <v>0</v>
      </c>
      <c r="T32" s="1">
        <f>IF(B32="126",1,0)</f>
        <v>0</v>
      </c>
    </row>
    <row r="33" spans="1:20" ht="21" customHeight="1" x14ac:dyDescent="0.25">
      <c r="A33" s="4" t="s">
        <v>869</v>
      </c>
      <c r="B33" s="4" t="s">
        <v>10</v>
      </c>
      <c r="C33" s="5" t="s">
        <v>5</v>
      </c>
      <c r="D33" s="5" t="s">
        <v>5</v>
      </c>
      <c r="E33" s="5" t="s">
        <v>14</v>
      </c>
      <c r="F33" s="5" t="s">
        <v>5</v>
      </c>
      <c r="G33" s="5" t="s">
        <v>14</v>
      </c>
      <c r="H33" s="5" t="s">
        <v>5</v>
      </c>
      <c r="I33" s="5" t="s">
        <v>5</v>
      </c>
      <c r="J33" s="5" t="s">
        <v>5</v>
      </c>
      <c r="K33" s="5" t="s">
        <v>60</v>
      </c>
      <c r="L33" s="5" t="s">
        <v>511</v>
      </c>
      <c r="M33" s="5" t="s">
        <v>512</v>
      </c>
      <c r="N33" s="10">
        <v>10</v>
      </c>
      <c r="O33" s="10">
        <v>2990</v>
      </c>
      <c r="P33" s="5"/>
      <c r="Q33" s="4" t="s">
        <v>353</v>
      </c>
      <c r="R33" s="4"/>
      <c r="S33" s="1">
        <f>IF(P33="",0,1)</f>
        <v>0</v>
      </c>
      <c r="T33" s="1">
        <f>IF(B33="126",1,0)</f>
        <v>0</v>
      </c>
    </row>
    <row r="34" spans="1:20" ht="21" customHeight="1" x14ac:dyDescent="0.25">
      <c r="A34" s="4" t="s">
        <v>870</v>
      </c>
      <c r="B34" s="4" t="s">
        <v>10</v>
      </c>
      <c r="C34" s="5" t="s">
        <v>5</v>
      </c>
      <c r="D34" s="5" t="s">
        <v>5</v>
      </c>
      <c r="E34" s="5" t="s">
        <v>14</v>
      </c>
      <c r="F34" s="5" t="s">
        <v>5</v>
      </c>
      <c r="G34" s="5" t="s">
        <v>14</v>
      </c>
      <c r="H34" s="5" t="s">
        <v>5</v>
      </c>
      <c r="I34" s="5" t="s">
        <v>5</v>
      </c>
      <c r="J34" s="5" t="s">
        <v>5</v>
      </c>
      <c r="K34" s="5" t="s">
        <v>61</v>
      </c>
      <c r="L34" s="5" t="s">
        <v>513</v>
      </c>
      <c r="M34" s="5" t="s">
        <v>340</v>
      </c>
      <c r="N34" s="10">
        <v>30</v>
      </c>
      <c r="O34" s="10">
        <v>8970</v>
      </c>
      <c r="P34" s="5"/>
      <c r="Q34" s="4" t="s">
        <v>353</v>
      </c>
      <c r="R34" s="4"/>
      <c r="S34" s="1">
        <f>IF(P34="",0,1)</f>
        <v>0</v>
      </c>
      <c r="T34" s="1">
        <f>IF(B34="126",1,0)</f>
        <v>0</v>
      </c>
    </row>
    <row r="35" spans="1:20" ht="21" customHeight="1" x14ac:dyDescent="0.25">
      <c r="A35" s="4" t="s">
        <v>871</v>
      </c>
      <c r="B35" s="4" t="s">
        <v>10</v>
      </c>
      <c r="C35" s="5" t="s">
        <v>5</v>
      </c>
      <c r="D35" s="5" t="s">
        <v>5</v>
      </c>
      <c r="E35" s="5" t="s">
        <v>14</v>
      </c>
      <c r="F35" s="5" t="s">
        <v>5</v>
      </c>
      <c r="G35" s="5" t="s">
        <v>14</v>
      </c>
      <c r="H35" s="5" t="s">
        <v>5</v>
      </c>
      <c r="I35" s="5" t="s">
        <v>5</v>
      </c>
      <c r="J35" s="5" t="s">
        <v>5</v>
      </c>
      <c r="K35" s="5" t="s">
        <v>62</v>
      </c>
      <c r="L35" s="5" t="s">
        <v>344</v>
      </c>
      <c r="M35" s="5" t="s">
        <v>304</v>
      </c>
      <c r="N35" s="10">
        <v>20</v>
      </c>
      <c r="O35" s="10">
        <v>5980</v>
      </c>
      <c r="P35" s="5"/>
      <c r="Q35" s="4" t="s">
        <v>353</v>
      </c>
      <c r="R35" s="4"/>
      <c r="S35" s="1">
        <f>IF(P35="",0,1)</f>
        <v>0</v>
      </c>
      <c r="T35" s="1">
        <f>IF(B35="126",1,0)</f>
        <v>0</v>
      </c>
    </row>
    <row r="36" spans="1:20" ht="21" customHeight="1" x14ac:dyDescent="0.25">
      <c r="A36" s="4" t="s">
        <v>149</v>
      </c>
      <c r="B36" s="4" t="s">
        <v>10</v>
      </c>
      <c r="C36" s="5" t="s">
        <v>5</v>
      </c>
      <c r="D36" s="5" t="s">
        <v>5</v>
      </c>
      <c r="E36" s="5" t="s">
        <v>14</v>
      </c>
      <c r="F36" s="5" t="s">
        <v>5</v>
      </c>
      <c r="G36" s="5" t="s">
        <v>14</v>
      </c>
      <c r="H36" s="5" t="s">
        <v>5</v>
      </c>
      <c r="I36" s="5" t="s">
        <v>5</v>
      </c>
      <c r="J36" s="5" t="s">
        <v>5</v>
      </c>
      <c r="K36" s="5" t="s">
        <v>63</v>
      </c>
      <c r="L36" s="5" t="s">
        <v>514</v>
      </c>
      <c r="M36" s="5" t="s">
        <v>345</v>
      </c>
      <c r="N36" s="10">
        <v>15</v>
      </c>
      <c r="O36" s="10">
        <v>4485</v>
      </c>
      <c r="P36" s="5"/>
      <c r="Q36" s="4" t="s">
        <v>353</v>
      </c>
      <c r="R36" s="4"/>
      <c r="S36" s="1">
        <f>IF(P36="",0,1)</f>
        <v>0</v>
      </c>
      <c r="T36" s="1">
        <f>IF(B36="126",1,0)</f>
        <v>0</v>
      </c>
    </row>
    <row r="37" spans="1:20" ht="21" customHeight="1" x14ac:dyDescent="0.25">
      <c r="A37" s="4" t="s">
        <v>872</v>
      </c>
      <c r="B37" s="4" t="s">
        <v>10</v>
      </c>
      <c r="C37" s="5" t="s">
        <v>5</v>
      </c>
      <c r="D37" s="5" t="s">
        <v>5</v>
      </c>
      <c r="E37" s="5" t="s">
        <v>14</v>
      </c>
      <c r="F37" s="5" t="s">
        <v>5</v>
      </c>
      <c r="G37" s="5" t="s">
        <v>14</v>
      </c>
      <c r="H37" s="5" t="s">
        <v>5</v>
      </c>
      <c r="I37" s="5" t="s">
        <v>5</v>
      </c>
      <c r="J37" s="5" t="s">
        <v>5</v>
      </c>
      <c r="K37" s="5" t="s">
        <v>64</v>
      </c>
      <c r="L37" s="5" t="s">
        <v>515</v>
      </c>
      <c r="M37" s="5" t="s">
        <v>516</v>
      </c>
      <c r="N37" s="10">
        <v>13</v>
      </c>
      <c r="O37" s="10">
        <v>3887</v>
      </c>
      <c r="P37" s="5"/>
      <c r="Q37" s="4" t="s">
        <v>353</v>
      </c>
      <c r="R37" s="4"/>
      <c r="S37" s="1">
        <f>IF(P37="",0,1)</f>
        <v>0</v>
      </c>
      <c r="T37" s="1">
        <f>IF(B37="126",1,0)</f>
        <v>0</v>
      </c>
    </row>
    <row r="38" spans="1:20" ht="21" customHeight="1" x14ac:dyDescent="0.25">
      <c r="A38" s="4" t="s">
        <v>150</v>
      </c>
      <c r="B38" s="4" t="s">
        <v>10</v>
      </c>
      <c r="C38" s="5" t="s">
        <v>5</v>
      </c>
      <c r="D38" s="5" t="s">
        <v>5</v>
      </c>
      <c r="E38" s="5" t="s">
        <v>14</v>
      </c>
      <c r="F38" s="5" t="s">
        <v>5</v>
      </c>
      <c r="G38" s="5" t="s">
        <v>14</v>
      </c>
      <c r="H38" s="5" t="s">
        <v>5</v>
      </c>
      <c r="I38" s="5" t="s">
        <v>5</v>
      </c>
      <c r="J38" s="5" t="s">
        <v>5</v>
      </c>
      <c r="K38" s="5" t="s">
        <v>65</v>
      </c>
      <c r="L38" s="5" t="s">
        <v>66</v>
      </c>
      <c r="M38" s="5" t="s">
        <v>517</v>
      </c>
      <c r="N38" s="10">
        <v>7</v>
      </c>
      <c r="O38" s="10">
        <v>2093</v>
      </c>
      <c r="P38" s="5"/>
      <c r="Q38" s="4" t="s">
        <v>353</v>
      </c>
      <c r="R38" s="4"/>
      <c r="S38" s="1">
        <f>IF(P38="",0,1)</f>
        <v>0</v>
      </c>
      <c r="T38" s="1">
        <f>IF(B38="126",1,0)</f>
        <v>0</v>
      </c>
    </row>
    <row r="39" spans="1:20" ht="21" customHeight="1" x14ac:dyDescent="0.25">
      <c r="A39" s="4" t="s">
        <v>873</v>
      </c>
      <c r="B39" s="4" t="s">
        <v>10</v>
      </c>
      <c r="C39" s="5" t="s">
        <v>5</v>
      </c>
      <c r="D39" s="5" t="s">
        <v>5</v>
      </c>
      <c r="E39" s="5" t="s">
        <v>14</v>
      </c>
      <c r="F39" s="5" t="s">
        <v>5</v>
      </c>
      <c r="G39" s="5" t="s">
        <v>14</v>
      </c>
      <c r="H39" s="5" t="s">
        <v>5</v>
      </c>
      <c r="I39" s="5" t="s">
        <v>5</v>
      </c>
      <c r="J39" s="5" t="s">
        <v>5</v>
      </c>
      <c r="K39" s="5" t="s">
        <v>67</v>
      </c>
      <c r="L39" s="5" t="s">
        <v>68</v>
      </c>
      <c r="M39" s="5" t="s">
        <v>305</v>
      </c>
      <c r="N39" s="10">
        <v>7</v>
      </c>
      <c r="O39" s="10">
        <v>2093</v>
      </c>
      <c r="P39" s="5"/>
      <c r="Q39" s="4" t="s">
        <v>353</v>
      </c>
      <c r="R39" s="4"/>
      <c r="S39" s="1">
        <f>IF(P39="",0,1)</f>
        <v>0</v>
      </c>
      <c r="T39" s="1">
        <f>IF(B39="126",1,0)</f>
        <v>0</v>
      </c>
    </row>
    <row r="40" spans="1:20" ht="21" customHeight="1" x14ac:dyDescent="0.25">
      <c r="A40" s="4" t="s">
        <v>874</v>
      </c>
      <c r="B40" s="4" t="s">
        <v>10</v>
      </c>
      <c r="C40" s="5" t="s">
        <v>5</v>
      </c>
      <c r="D40" s="5" t="s">
        <v>5</v>
      </c>
      <c r="E40" s="5" t="s">
        <v>14</v>
      </c>
      <c r="F40" s="5" t="s">
        <v>5</v>
      </c>
      <c r="G40" s="5" t="s">
        <v>14</v>
      </c>
      <c r="H40" s="5" t="s">
        <v>5</v>
      </c>
      <c r="I40" s="5" t="s">
        <v>5</v>
      </c>
      <c r="J40" s="5" t="s">
        <v>5</v>
      </c>
      <c r="K40" s="5" t="s">
        <v>69</v>
      </c>
      <c r="L40" s="5" t="s">
        <v>70</v>
      </c>
      <c r="M40" s="5" t="s">
        <v>299</v>
      </c>
      <c r="N40" s="10">
        <v>11</v>
      </c>
      <c r="O40" s="10">
        <v>3289</v>
      </c>
      <c r="P40" s="5"/>
      <c r="Q40" s="4" t="s">
        <v>353</v>
      </c>
      <c r="R40" s="4"/>
      <c r="S40" s="1">
        <f>IF(P40="",0,1)</f>
        <v>0</v>
      </c>
      <c r="T40" s="1">
        <f>IF(B40="126",1,0)</f>
        <v>0</v>
      </c>
    </row>
    <row r="41" spans="1:20" ht="21" customHeight="1" x14ac:dyDescent="0.25">
      <c r="A41" s="4" t="s">
        <v>875</v>
      </c>
      <c r="B41" s="4" t="s">
        <v>10</v>
      </c>
      <c r="C41" s="5" t="s">
        <v>5</v>
      </c>
      <c r="D41" s="5" t="s">
        <v>5</v>
      </c>
      <c r="E41" s="5" t="s">
        <v>14</v>
      </c>
      <c r="F41" s="5" t="s">
        <v>5</v>
      </c>
      <c r="G41" s="5" t="s">
        <v>14</v>
      </c>
      <c r="H41" s="5" t="s">
        <v>5</v>
      </c>
      <c r="I41" s="5" t="s">
        <v>5</v>
      </c>
      <c r="J41" s="5" t="s">
        <v>5</v>
      </c>
      <c r="K41" s="5" t="s">
        <v>71</v>
      </c>
      <c r="L41" s="5" t="s">
        <v>72</v>
      </c>
      <c r="M41" s="5" t="s">
        <v>306</v>
      </c>
      <c r="N41" s="10">
        <v>14</v>
      </c>
      <c r="O41" s="10">
        <v>4186</v>
      </c>
      <c r="P41" s="5"/>
      <c r="Q41" s="4" t="s">
        <v>353</v>
      </c>
      <c r="R41" s="4"/>
      <c r="S41" s="1">
        <f>IF(P41="",0,1)</f>
        <v>0</v>
      </c>
      <c r="T41" s="1">
        <f>IF(B41="126",1,0)</f>
        <v>0</v>
      </c>
    </row>
    <row r="42" spans="1:20" ht="21" customHeight="1" x14ac:dyDescent="0.25">
      <c r="A42" s="4" t="s">
        <v>876</v>
      </c>
      <c r="B42" s="4" t="s">
        <v>10</v>
      </c>
      <c r="C42" s="5" t="s">
        <v>5</v>
      </c>
      <c r="D42" s="5" t="s">
        <v>5</v>
      </c>
      <c r="E42" s="5" t="s">
        <v>14</v>
      </c>
      <c r="F42" s="5" t="s">
        <v>5</v>
      </c>
      <c r="G42" s="5" t="s">
        <v>14</v>
      </c>
      <c r="H42" s="5" t="s">
        <v>5</v>
      </c>
      <c r="I42" s="5" t="s">
        <v>5</v>
      </c>
      <c r="J42" s="5" t="s">
        <v>5</v>
      </c>
      <c r="K42" s="5" t="s">
        <v>73</v>
      </c>
      <c r="L42" s="5" t="s">
        <v>428</v>
      </c>
      <c r="M42" s="5" t="s">
        <v>429</v>
      </c>
      <c r="N42" s="10">
        <v>4</v>
      </c>
      <c r="O42" s="10">
        <v>1196</v>
      </c>
      <c r="P42" s="5"/>
      <c r="Q42" s="4" t="s">
        <v>353</v>
      </c>
      <c r="R42" s="4"/>
      <c r="S42" s="1">
        <f>IF(P42="",0,1)</f>
        <v>0</v>
      </c>
      <c r="T42" s="1">
        <f>IF(B42="126",1,0)</f>
        <v>0</v>
      </c>
    </row>
    <row r="43" spans="1:20" ht="21" customHeight="1" x14ac:dyDescent="0.25">
      <c r="A43" s="4" t="s">
        <v>877</v>
      </c>
      <c r="B43" s="4" t="s">
        <v>10</v>
      </c>
      <c r="C43" s="5" t="s">
        <v>5</v>
      </c>
      <c r="D43" s="5" t="s">
        <v>5</v>
      </c>
      <c r="E43" s="5" t="s">
        <v>14</v>
      </c>
      <c r="F43" s="5" t="s">
        <v>5</v>
      </c>
      <c r="G43" s="5" t="s">
        <v>14</v>
      </c>
      <c r="H43" s="5" t="s">
        <v>5</v>
      </c>
      <c r="I43" s="5" t="s">
        <v>5</v>
      </c>
      <c r="J43" s="5" t="s">
        <v>5</v>
      </c>
      <c r="K43" s="5" t="s">
        <v>74</v>
      </c>
      <c r="L43" s="5" t="s">
        <v>518</v>
      </c>
      <c r="M43" s="5" t="s">
        <v>519</v>
      </c>
      <c r="N43" s="10">
        <v>3</v>
      </c>
      <c r="O43" s="10">
        <v>897</v>
      </c>
      <c r="P43" s="5"/>
      <c r="Q43" s="4" t="s">
        <v>353</v>
      </c>
      <c r="R43" s="4"/>
      <c r="S43" s="1">
        <f>IF(P43="",0,1)</f>
        <v>0</v>
      </c>
      <c r="T43" s="1">
        <f>IF(B43="126",1,0)</f>
        <v>0</v>
      </c>
    </row>
    <row r="44" spans="1:20" ht="21" customHeight="1" x14ac:dyDescent="0.25">
      <c r="A44" s="4" t="s">
        <v>878</v>
      </c>
      <c r="B44" s="4" t="s">
        <v>10</v>
      </c>
      <c r="C44" s="5" t="s">
        <v>5</v>
      </c>
      <c r="D44" s="5" t="s">
        <v>5</v>
      </c>
      <c r="E44" s="5" t="s">
        <v>14</v>
      </c>
      <c r="F44" s="5" t="s">
        <v>5</v>
      </c>
      <c r="G44" s="5" t="s">
        <v>14</v>
      </c>
      <c r="H44" s="5" t="s">
        <v>5</v>
      </c>
      <c r="I44" s="5" t="s">
        <v>5</v>
      </c>
      <c r="J44" s="5" t="s">
        <v>5</v>
      </c>
      <c r="K44" s="5" t="s">
        <v>75</v>
      </c>
      <c r="L44" s="5" t="s">
        <v>76</v>
      </c>
      <c r="M44" s="5" t="s">
        <v>307</v>
      </c>
      <c r="N44" s="10">
        <v>7</v>
      </c>
      <c r="O44" s="10">
        <v>2093</v>
      </c>
      <c r="P44" s="5"/>
      <c r="Q44" s="4" t="s">
        <v>353</v>
      </c>
      <c r="R44" s="4"/>
      <c r="S44" s="1">
        <f>IF(P44="",0,1)</f>
        <v>0</v>
      </c>
      <c r="T44" s="1">
        <f>IF(B44="126",1,0)</f>
        <v>0</v>
      </c>
    </row>
    <row r="45" spans="1:20" ht="21" customHeight="1" x14ac:dyDescent="0.25">
      <c r="A45" s="4" t="s">
        <v>879</v>
      </c>
      <c r="B45" s="4" t="s">
        <v>10</v>
      </c>
      <c r="C45" s="5" t="s">
        <v>5</v>
      </c>
      <c r="D45" s="5" t="s">
        <v>5</v>
      </c>
      <c r="E45" s="5" t="s">
        <v>14</v>
      </c>
      <c r="F45" s="5" t="s">
        <v>5</v>
      </c>
      <c r="G45" s="5" t="s">
        <v>14</v>
      </c>
      <c r="H45" s="5" t="s">
        <v>5</v>
      </c>
      <c r="I45" s="5" t="s">
        <v>5</v>
      </c>
      <c r="J45" s="5" t="s">
        <v>5</v>
      </c>
      <c r="K45" s="5" t="s">
        <v>77</v>
      </c>
      <c r="L45" s="5" t="s">
        <v>78</v>
      </c>
      <c r="M45" s="5" t="s">
        <v>274</v>
      </c>
      <c r="N45" s="10">
        <v>14</v>
      </c>
      <c r="O45" s="10">
        <v>4186</v>
      </c>
      <c r="P45" s="5"/>
      <c r="Q45" s="4" t="s">
        <v>353</v>
      </c>
      <c r="R45" s="4"/>
      <c r="S45" s="1">
        <f>IF(P45="",0,1)</f>
        <v>0</v>
      </c>
      <c r="T45" s="1">
        <f>IF(B45="126",1,0)</f>
        <v>0</v>
      </c>
    </row>
    <row r="46" spans="1:20" ht="21" customHeight="1" x14ac:dyDescent="0.25">
      <c r="A46" s="4" t="s">
        <v>152</v>
      </c>
      <c r="B46" s="4" t="s">
        <v>10</v>
      </c>
      <c r="C46" s="5" t="s">
        <v>5</v>
      </c>
      <c r="D46" s="5" t="s">
        <v>5</v>
      </c>
      <c r="E46" s="5" t="s">
        <v>14</v>
      </c>
      <c r="F46" s="5" t="s">
        <v>5</v>
      </c>
      <c r="G46" s="5" t="s">
        <v>14</v>
      </c>
      <c r="H46" s="5" t="s">
        <v>5</v>
      </c>
      <c r="I46" s="5" t="s">
        <v>5</v>
      </c>
      <c r="J46" s="5" t="s">
        <v>5</v>
      </c>
      <c r="K46" s="5" t="s">
        <v>79</v>
      </c>
      <c r="L46" s="5" t="s">
        <v>520</v>
      </c>
      <c r="M46" s="5" t="s">
        <v>521</v>
      </c>
      <c r="N46" s="10">
        <v>5</v>
      </c>
      <c r="O46" s="10">
        <v>1495</v>
      </c>
      <c r="P46" s="5"/>
      <c r="Q46" s="4" t="s">
        <v>353</v>
      </c>
      <c r="R46" s="4"/>
      <c r="S46" s="1">
        <f>IF(P46="",0,1)</f>
        <v>0</v>
      </c>
      <c r="T46" s="1">
        <f>IF(B46="126",1,0)</f>
        <v>0</v>
      </c>
    </row>
    <row r="47" spans="1:20" ht="21" customHeight="1" x14ac:dyDescent="0.25">
      <c r="A47" s="4" t="s">
        <v>880</v>
      </c>
      <c r="B47" s="4" t="s">
        <v>10</v>
      </c>
      <c r="C47" s="5" t="s">
        <v>5</v>
      </c>
      <c r="D47" s="5" t="s">
        <v>5</v>
      </c>
      <c r="E47" s="5" t="s">
        <v>14</v>
      </c>
      <c r="F47" s="5" t="s">
        <v>5</v>
      </c>
      <c r="G47" s="5" t="s">
        <v>14</v>
      </c>
      <c r="H47" s="5" t="s">
        <v>5</v>
      </c>
      <c r="I47" s="5" t="s">
        <v>5</v>
      </c>
      <c r="J47" s="5" t="s">
        <v>5</v>
      </c>
      <c r="K47" s="5" t="s">
        <v>80</v>
      </c>
      <c r="L47" s="5" t="s">
        <v>81</v>
      </c>
      <c r="M47" s="5" t="s">
        <v>308</v>
      </c>
      <c r="N47" s="10">
        <v>19</v>
      </c>
      <c r="O47" s="10">
        <v>5681</v>
      </c>
      <c r="P47" s="5"/>
      <c r="Q47" s="4" t="s">
        <v>353</v>
      </c>
      <c r="R47" s="4"/>
      <c r="S47" s="1">
        <f>IF(P47="",0,1)</f>
        <v>0</v>
      </c>
      <c r="T47" s="1">
        <f>IF(B47="126",1,0)</f>
        <v>0</v>
      </c>
    </row>
    <row r="48" spans="1:20" ht="21" customHeight="1" x14ac:dyDescent="0.25">
      <c r="A48" s="4" t="s">
        <v>881</v>
      </c>
      <c r="B48" s="4" t="s">
        <v>10</v>
      </c>
      <c r="C48" s="5" t="s">
        <v>5</v>
      </c>
      <c r="D48" s="5" t="s">
        <v>5</v>
      </c>
      <c r="E48" s="5" t="s">
        <v>14</v>
      </c>
      <c r="F48" s="5" t="s">
        <v>5</v>
      </c>
      <c r="G48" s="5" t="s">
        <v>14</v>
      </c>
      <c r="H48" s="5" t="s">
        <v>5</v>
      </c>
      <c r="I48" s="5" t="s">
        <v>5</v>
      </c>
      <c r="J48" s="5" t="s">
        <v>5</v>
      </c>
      <c r="K48" s="5" t="s">
        <v>82</v>
      </c>
      <c r="L48" s="5" t="s">
        <v>522</v>
      </c>
      <c r="M48" s="5" t="s">
        <v>523</v>
      </c>
      <c r="N48" s="10">
        <v>8</v>
      </c>
      <c r="O48" s="10">
        <v>2392</v>
      </c>
      <c r="P48" s="5"/>
      <c r="Q48" s="4" t="s">
        <v>353</v>
      </c>
      <c r="R48" s="4"/>
      <c r="S48" s="1">
        <f>IF(P48="",0,1)</f>
        <v>0</v>
      </c>
      <c r="T48" s="1">
        <f>IF(B48="126",1,0)</f>
        <v>0</v>
      </c>
    </row>
    <row r="49" spans="1:20" ht="21" customHeight="1" x14ac:dyDescent="0.25">
      <c r="A49" s="4" t="s">
        <v>882</v>
      </c>
      <c r="B49" s="4" t="s">
        <v>10</v>
      </c>
      <c r="C49" s="5" t="s">
        <v>5</v>
      </c>
      <c r="D49" s="5" t="s">
        <v>5</v>
      </c>
      <c r="E49" s="5" t="s">
        <v>14</v>
      </c>
      <c r="F49" s="5" t="s">
        <v>5</v>
      </c>
      <c r="G49" s="5" t="s">
        <v>14</v>
      </c>
      <c r="H49" s="5" t="s">
        <v>5</v>
      </c>
      <c r="I49" s="5" t="s">
        <v>5</v>
      </c>
      <c r="J49" s="5" t="s">
        <v>5</v>
      </c>
      <c r="K49" s="5" t="s">
        <v>83</v>
      </c>
      <c r="L49" s="5" t="s">
        <v>84</v>
      </c>
      <c r="M49" s="5" t="s">
        <v>297</v>
      </c>
      <c r="N49" s="10">
        <v>17</v>
      </c>
      <c r="O49" s="10">
        <v>5083</v>
      </c>
      <c r="P49" s="5"/>
      <c r="Q49" s="4" t="s">
        <v>353</v>
      </c>
      <c r="R49" s="4"/>
      <c r="S49" s="1">
        <f>IF(P49="",0,1)</f>
        <v>0</v>
      </c>
      <c r="T49" s="1">
        <f>IF(B49="126",1,0)</f>
        <v>0</v>
      </c>
    </row>
    <row r="50" spans="1:20" ht="21" customHeight="1" x14ac:dyDescent="0.25">
      <c r="A50" s="4" t="s">
        <v>883</v>
      </c>
      <c r="B50" s="4" t="s">
        <v>10</v>
      </c>
      <c r="C50" s="5" t="s">
        <v>5</v>
      </c>
      <c r="D50" s="5" t="s">
        <v>5</v>
      </c>
      <c r="E50" s="5" t="s">
        <v>14</v>
      </c>
      <c r="F50" s="5" t="s">
        <v>5</v>
      </c>
      <c r="G50" s="5" t="s">
        <v>14</v>
      </c>
      <c r="H50" s="5" t="s">
        <v>5</v>
      </c>
      <c r="I50" s="5" t="s">
        <v>5</v>
      </c>
      <c r="J50" s="5" t="s">
        <v>5</v>
      </c>
      <c r="K50" s="5" t="s">
        <v>85</v>
      </c>
      <c r="L50" s="5" t="s">
        <v>86</v>
      </c>
      <c r="M50" s="5" t="s">
        <v>281</v>
      </c>
      <c r="N50" s="10">
        <v>15</v>
      </c>
      <c r="O50" s="10">
        <v>4485</v>
      </c>
      <c r="P50" s="5"/>
      <c r="Q50" s="4" t="s">
        <v>353</v>
      </c>
      <c r="R50" s="4"/>
      <c r="S50" s="1">
        <f>IF(P50="",0,1)</f>
        <v>0</v>
      </c>
      <c r="T50" s="1">
        <f>IF(B50="126",1,0)</f>
        <v>0</v>
      </c>
    </row>
    <row r="51" spans="1:20" ht="21" customHeight="1" x14ac:dyDescent="0.25">
      <c r="A51" s="4" t="s">
        <v>884</v>
      </c>
      <c r="B51" s="4" t="s">
        <v>10</v>
      </c>
      <c r="C51" s="5" t="s">
        <v>5</v>
      </c>
      <c r="D51" s="5" t="s">
        <v>5</v>
      </c>
      <c r="E51" s="5" t="s">
        <v>14</v>
      </c>
      <c r="F51" s="5" t="s">
        <v>5</v>
      </c>
      <c r="G51" s="5" t="s">
        <v>14</v>
      </c>
      <c r="H51" s="5" t="s">
        <v>5</v>
      </c>
      <c r="I51" s="5" t="s">
        <v>5</v>
      </c>
      <c r="J51" s="5" t="s">
        <v>5</v>
      </c>
      <c r="K51" s="5" t="s">
        <v>87</v>
      </c>
      <c r="L51" s="5" t="s">
        <v>88</v>
      </c>
      <c r="M51" s="5" t="s">
        <v>524</v>
      </c>
      <c r="N51" s="10">
        <v>8</v>
      </c>
      <c r="O51" s="10">
        <v>2392</v>
      </c>
      <c r="P51" s="5"/>
      <c r="Q51" s="4" t="s">
        <v>353</v>
      </c>
      <c r="R51" s="4"/>
      <c r="S51" s="1">
        <f>IF(P51="",0,1)</f>
        <v>0</v>
      </c>
      <c r="T51" s="1">
        <f>IF(B51="126",1,0)</f>
        <v>0</v>
      </c>
    </row>
    <row r="52" spans="1:20" ht="21" customHeight="1" x14ac:dyDescent="0.25">
      <c r="A52" s="4" t="s">
        <v>885</v>
      </c>
      <c r="B52" s="4" t="s">
        <v>10</v>
      </c>
      <c r="C52" s="5" t="s">
        <v>5</v>
      </c>
      <c r="D52" s="5" t="s">
        <v>5</v>
      </c>
      <c r="E52" s="5" t="s">
        <v>14</v>
      </c>
      <c r="F52" s="5" t="s">
        <v>5</v>
      </c>
      <c r="G52" s="5" t="s">
        <v>14</v>
      </c>
      <c r="H52" s="5" t="s">
        <v>5</v>
      </c>
      <c r="I52" s="5" t="s">
        <v>5</v>
      </c>
      <c r="J52" s="5" t="s">
        <v>5</v>
      </c>
      <c r="K52" s="5" t="s">
        <v>89</v>
      </c>
      <c r="L52" s="5" t="s">
        <v>90</v>
      </c>
      <c r="M52" s="5" t="s">
        <v>309</v>
      </c>
      <c r="N52" s="10">
        <v>8</v>
      </c>
      <c r="O52" s="10">
        <v>2392</v>
      </c>
      <c r="P52" s="5"/>
      <c r="Q52" s="4" t="s">
        <v>353</v>
      </c>
      <c r="R52" s="4"/>
      <c r="S52" s="1">
        <f>IF(P52="",0,1)</f>
        <v>0</v>
      </c>
      <c r="T52" s="1">
        <f>IF(B52="126",1,0)</f>
        <v>0</v>
      </c>
    </row>
    <row r="53" spans="1:20" ht="21" customHeight="1" x14ac:dyDescent="0.25">
      <c r="A53" s="4" t="s">
        <v>183</v>
      </c>
      <c r="B53" s="4" t="s">
        <v>10</v>
      </c>
      <c r="C53" s="5" t="s">
        <v>5</v>
      </c>
      <c r="D53" s="5" t="s">
        <v>5</v>
      </c>
      <c r="E53" s="5" t="s">
        <v>14</v>
      </c>
      <c r="F53" s="5" t="s">
        <v>5</v>
      </c>
      <c r="G53" s="5" t="s">
        <v>14</v>
      </c>
      <c r="H53" s="5" t="s">
        <v>5</v>
      </c>
      <c r="I53" s="5" t="s">
        <v>5</v>
      </c>
      <c r="J53" s="5" t="s">
        <v>5</v>
      </c>
      <c r="K53" s="5" t="s">
        <v>91</v>
      </c>
      <c r="L53" s="5" t="s">
        <v>92</v>
      </c>
      <c r="M53" s="5" t="s">
        <v>525</v>
      </c>
      <c r="N53" s="10">
        <v>11</v>
      </c>
      <c r="O53" s="10">
        <v>3289</v>
      </c>
      <c r="P53" s="5"/>
      <c r="Q53" s="4" t="s">
        <v>353</v>
      </c>
      <c r="R53" s="4"/>
      <c r="S53" s="1">
        <f>IF(P53="",0,1)</f>
        <v>0</v>
      </c>
      <c r="T53" s="1">
        <f>IF(B53="126",1,0)</f>
        <v>0</v>
      </c>
    </row>
    <row r="54" spans="1:20" ht="21" customHeight="1" x14ac:dyDescent="0.25">
      <c r="A54" s="4" t="s">
        <v>886</v>
      </c>
      <c r="B54" s="4" t="s">
        <v>10</v>
      </c>
      <c r="C54" s="5" t="s">
        <v>5</v>
      </c>
      <c r="D54" s="5" t="s">
        <v>5</v>
      </c>
      <c r="E54" s="5" t="s">
        <v>14</v>
      </c>
      <c r="F54" s="5" t="s">
        <v>5</v>
      </c>
      <c r="G54" s="5" t="s">
        <v>14</v>
      </c>
      <c r="H54" s="5" t="s">
        <v>5</v>
      </c>
      <c r="I54" s="5" t="s">
        <v>5</v>
      </c>
      <c r="J54" s="5" t="s">
        <v>5</v>
      </c>
      <c r="K54" s="5" t="s">
        <v>93</v>
      </c>
      <c r="L54" s="5" t="s">
        <v>526</v>
      </c>
      <c r="M54" s="5" t="s">
        <v>303</v>
      </c>
      <c r="N54" s="10">
        <v>9</v>
      </c>
      <c r="O54" s="10">
        <v>2691</v>
      </c>
      <c r="P54" s="5"/>
      <c r="Q54" s="4" t="s">
        <v>353</v>
      </c>
      <c r="R54" s="4"/>
      <c r="S54" s="1">
        <f>IF(P54="",0,1)</f>
        <v>0</v>
      </c>
      <c r="T54" s="1">
        <f>IF(B54="126",1,0)</f>
        <v>0</v>
      </c>
    </row>
    <row r="55" spans="1:20" ht="21" customHeight="1" x14ac:dyDescent="0.25">
      <c r="A55" s="4" t="s">
        <v>887</v>
      </c>
      <c r="B55" s="4" t="s">
        <v>10</v>
      </c>
      <c r="C55" s="5" t="s">
        <v>5</v>
      </c>
      <c r="D55" s="5" t="s">
        <v>5</v>
      </c>
      <c r="E55" s="5" t="s">
        <v>14</v>
      </c>
      <c r="F55" s="5" t="s">
        <v>5</v>
      </c>
      <c r="G55" s="5" t="s">
        <v>14</v>
      </c>
      <c r="H55" s="5" t="s">
        <v>5</v>
      </c>
      <c r="I55" s="5" t="s">
        <v>5</v>
      </c>
      <c r="J55" s="5" t="s">
        <v>5</v>
      </c>
      <c r="K55" s="5" t="s">
        <v>94</v>
      </c>
      <c r="L55" s="5" t="s">
        <v>527</v>
      </c>
      <c r="M55" s="5" t="s">
        <v>298</v>
      </c>
      <c r="N55" s="10">
        <v>6</v>
      </c>
      <c r="O55" s="10">
        <v>1794</v>
      </c>
      <c r="P55" s="5"/>
      <c r="Q55" s="4" t="s">
        <v>353</v>
      </c>
      <c r="R55" s="4"/>
      <c r="S55" s="1">
        <f>IF(P55="",0,1)</f>
        <v>0</v>
      </c>
      <c r="T55" s="1">
        <f>IF(B55="126",1,0)</f>
        <v>0</v>
      </c>
    </row>
    <row r="56" spans="1:20" ht="21" customHeight="1" x14ac:dyDescent="0.25">
      <c r="A56" s="4" t="s">
        <v>888</v>
      </c>
      <c r="B56" s="4" t="s">
        <v>10</v>
      </c>
      <c r="C56" s="5" t="s">
        <v>5</v>
      </c>
      <c r="D56" s="5" t="s">
        <v>5</v>
      </c>
      <c r="E56" s="5" t="s">
        <v>14</v>
      </c>
      <c r="F56" s="5" t="s">
        <v>5</v>
      </c>
      <c r="G56" s="5" t="s">
        <v>14</v>
      </c>
      <c r="H56" s="5" t="s">
        <v>5</v>
      </c>
      <c r="I56" s="5" t="s">
        <v>5</v>
      </c>
      <c r="J56" s="5" t="s">
        <v>5</v>
      </c>
      <c r="K56" s="5" t="s">
        <v>95</v>
      </c>
      <c r="L56" s="5" t="s">
        <v>96</v>
      </c>
      <c r="M56" s="5" t="s">
        <v>310</v>
      </c>
      <c r="N56" s="10">
        <v>30</v>
      </c>
      <c r="O56" s="10">
        <v>8970</v>
      </c>
      <c r="P56" s="5"/>
      <c r="Q56" s="4" t="s">
        <v>353</v>
      </c>
      <c r="R56" s="4"/>
      <c r="S56" s="1">
        <f>IF(P56="",0,1)</f>
        <v>0</v>
      </c>
      <c r="T56" s="1">
        <f>IF(B56="126",1,0)</f>
        <v>0</v>
      </c>
    </row>
    <row r="57" spans="1:20" ht="21" customHeight="1" x14ac:dyDescent="0.25">
      <c r="A57" s="4" t="s">
        <v>889</v>
      </c>
      <c r="B57" s="4" t="s">
        <v>10</v>
      </c>
      <c r="C57" s="5" t="s">
        <v>5</v>
      </c>
      <c r="D57" s="5" t="s">
        <v>5</v>
      </c>
      <c r="E57" s="5" t="s">
        <v>14</v>
      </c>
      <c r="F57" s="5" t="s">
        <v>5</v>
      </c>
      <c r="G57" s="5" t="s">
        <v>14</v>
      </c>
      <c r="H57" s="5" t="s">
        <v>5</v>
      </c>
      <c r="I57" s="5" t="s">
        <v>5</v>
      </c>
      <c r="J57" s="5" t="s">
        <v>5</v>
      </c>
      <c r="K57" s="5" t="s">
        <v>97</v>
      </c>
      <c r="L57" s="5" t="s">
        <v>98</v>
      </c>
      <c r="M57" s="5" t="s">
        <v>99</v>
      </c>
      <c r="N57" s="10">
        <v>7</v>
      </c>
      <c r="O57" s="10">
        <v>2093</v>
      </c>
      <c r="P57" s="5"/>
      <c r="Q57" s="4" t="s">
        <v>353</v>
      </c>
      <c r="R57" s="4"/>
      <c r="S57" s="1">
        <f>IF(P57="",0,1)</f>
        <v>0</v>
      </c>
      <c r="T57" s="1">
        <f>IF(B57="126",1,0)</f>
        <v>0</v>
      </c>
    </row>
    <row r="58" spans="1:20" ht="21" customHeight="1" x14ac:dyDescent="0.25">
      <c r="A58" s="4" t="s">
        <v>265</v>
      </c>
      <c r="B58" s="4" t="s">
        <v>10</v>
      </c>
      <c r="C58" s="5" t="s">
        <v>5</v>
      </c>
      <c r="D58" s="5" t="s">
        <v>5</v>
      </c>
      <c r="E58" s="5" t="s">
        <v>14</v>
      </c>
      <c r="F58" s="5" t="s">
        <v>5</v>
      </c>
      <c r="G58" s="5" t="s">
        <v>14</v>
      </c>
      <c r="H58" s="5" t="s">
        <v>5</v>
      </c>
      <c r="I58" s="5" t="s">
        <v>5</v>
      </c>
      <c r="J58" s="5" t="s">
        <v>5</v>
      </c>
      <c r="K58" s="5" t="s">
        <v>100</v>
      </c>
      <c r="L58" s="5" t="s">
        <v>101</v>
      </c>
      <c r="M58" s="5" t="s">
        <v>102</v>
      </c>
      <c r="N58" s="10">
        <v>27</v>
      </c>
      <c r="O58" s="10">
        <v>8015</v>
      </c>
      <c r="P58" s="5"/>
      <c r="Q58" s="4" t="s">
        <v>353</v>
      </c>
      <c r="R58" s="4"/>
      <c r="S58" s="1">
        <f>IF(P58="",0,1)</f>
        <v>0</v>
      </c>
      <c r="T58" s="1">
        <f>IF(B58="126",1,0)</f>
        <v>0</v>
      </c>
    </row>
    <row r="59" spans="1:20" ht="21" customHeight="1" x14ac:dyDescent="0.25">
      <c r="A59" s="4" t="s">
        <v>890</v>
      </c>
      <c r="B59" s="4" t="s">
        <v>10</v>
      </c>
      <c r="C59" s="5" t="s">
        <v>5</v>
      </c>
      <c r="D59" s="5" t="s">
        <v>5</v>
      </c>
      <c r="E59" s="5" t="s">
        <v>14</v>
      </c>
      <c r="F59" s="5" t="s">
        <v>5</v>
      </c>
      <c r="G59" s="5" t="s">
        <v>14</v>
      </c>
      <c r="H59" s="5" t="s">
        <v>5</v>
      </c>
      <c r="I59" s="5" t="s">
        <v>5</v>
      </c>
      <c r="J59" s="5" t="s">
        <v>5</v>
      </c>
      <c r="K59" s="5" t="s">
        <v>103</v>
      </c>
      <c r="L59" s="5" t="s">
        <v>104</v>
      </c>
      <c r="M59" s="5" t="s">
        <v>528</v>
      </c>
      <c r="N59" s="10">
        <v>7</v>
      </c>
      <c r="O59" s="10">
        <v>2093</v>
      </c>
      <c r="P59" s="5"/>
      <c r="Q59" s="4" t="s">
        <v>353</v>
      </c>
      <c r="R59" s="4"/>
      <c r="S59" s="1">
        <f>IF(P59="",0,1)</f>
        <v>0</v>
      </c>
      <c r="T59" s="1">
        <f>IF(B59="126",1,0)</f>
        <v>0</v>
      </c>
    </row>
    <row r="60" spans="1:20" ht="21" customHeight="1" x14ac:dyDescent="0.25">
      <c r="A60" s="4" t="s">
        <v>816</v>
      </c>
      <c r="B60" s="4" t="s">
        <v>10</v>
      </c>
      <c r="C60" s="5" t="s">
        <v>5</v>
      </c>
      <c r="D60" s="5" t="s">
        <v>5</v>
      </c>
      <c r="E60" s="5" t="s">
        <v>14</v>
      </c>
      <c r="F60" s="5" t="s">
        <v>5</v>
      </c>
      <c r="G60" s="5" t="s">
        <v>14</v>
      </c>
      <c r="H60" s="5" t="s">
        <v>5</v>
      </c>
      <c r="I60" s="5" t="s">
        <v>5</v>
      </c>
      <c r="J60" s="5" t="s">
        <v>5</v>
      </c>
      <c r="K60" s="5" t="s">
        <v>105</v>
      </c>
      <c r="L60" s="5" t="s">
        <v>106</v>
      </c>
      <c r="M60" s="5" t="s">
        <v>529</v>
      </c>
      <c r="N60" s="10">
        <v>12</v>
      </c>
      <c r="O60" s="10">
        <v>3588</v>
      </c>
      <c r="P60" s="5"/>
      <c r="Q60" s="4" t="s">
        <v>353</v>
      </c>
      <c r="R60" s="4"/>
      <c r="S60" s="1">
        <f>IF(P60="",0,1)</f>
        <v>0</v>
      </c>
      <c r="T60" s="1">
        <f>IF(B60="126",1,0)</f>
        <v>0</v>
      </c>
    </row>
    <row r="61" spans="1:20" ht="21" customHeight="1" x14ac:dyDescent="0.25">
      <c r="A61" s="4" t="s">
        <v>819</v>
      </c>
      <c r="B61" s="4" t="s">
        <v>10</v>
      </c>
      <c r="C61" s="5" t="s">
        <v>5</v>
      </c>
      <c r="D61" s="5" t="s">
        <v>5</v>
      </c>
      <c r="E61" s="5" t="s">
        <v>14</v>
      </c>
      <c r="F61" s="5" t="s">
        <v>5</v>
      </c>
      <c r="G61" s="5" t="s">
        <v>14</v>
      </c>
      <c r="H61" s="5" t="s">
        <v>5</v>
      </c>
      <c r="I61" s="5" t="s">
        <v>5</v>
      </c>
      <c r="J61" s="5" t="s">
        <v>5</v>
      </c>
      <c r="K61" s="5" t="s">
        <v>107</v>
      </c>
      <c r="L61" s="5" t="s">
        <v>108</v>
      </c>
      <c r="M61" s="5" t="s">
        <v>109</v>
      </c>
      <c r="N61" s="10">
        <v>15</v>
      </c>
      <c r="O61" s="10">
        <v>4485</v>
      </c>
      <c r="P61" s="5"/>
      <c r="Q61" s="4" t="s">
        <v>353</v>
      </c>
      <c r="R61" s="4"/>
      <c r="S61" s="1">
        <f>IF(P61="",0,1)</f>
        <v>0</v>
      </c>
      <c r="T61" s="1">
        <f>IF(B61="126",1,0)</f>
        <v>0</v>
      </c>
    </row>
    <row r="62" spans="1:20" ht="21" customHeight="1" x14ac:dyDescent="0.25">
      <c r="A62" s="4" t="s">
        <v>891</v>
      </c>
      <c r="B62" s="4" t="s">
        <v>10</v>
      </c>
      <c r="C62" s="5" t="s">
        <v>5</v>
      </c>
      <c r="D62" s="5" t="s">
        <v>5</v>
      </c>
      <c r="E62" s="5" t="s">
        <v>14</v>
      </c>
      <c r="F62" s="5" t="s">
        <v>5</v>
      </c>
      <c r="G62" s="5" t="s">
        <v>14</v>
      </c>
      <c r="H62" s="5" t="s">
        <v>5</v>
      </c>
      <c r="I62" s="5" t="s">
        <v>5</v>
      </c>
      <c r="J62" s="5" t="s">
        <v>5</v>
      </c>
      <c r="K62" s="5" t="s">
        <v>110</v>
      </c>
      <c r="L62" s="5" t="s">
        <v>530</v>
      </c>
      <c r="M62" s="5" t="s">
        <v>531</v>
      </c>
      <c r="N62" s="10">
        <v>11</v>
      </c>
      <c r="O62" s="10">
        <v>3289</v>
      </c>
      <c r="P62" s="5"/>
      <c r="Q62" s="4" t="s">
        <v>353</v>
      </c>
      <c r="R62" s="4"/>
      <c r="S62" s="1">
        <f>IF(P62="",0,1)</f>
        <v>0</v>
      </c>
      <c r="T62" s="1">
        <f>IF(B62="126",1,0)</f>
        <v>0</v>
      </c>
    </row>
    <row r="63" spans="1:20" ht="21" customHeight="1" x14ac:dyDescent="0.25">
      <c r="A63" s="4" t="s">
        <v>892</v>
      </c>
      <c r="B63" s="4" t="s">
        <v>10</v>
      </c>
      <c r="C63" s="5" t="s">
        <v>5</v>
      </c>
      <c r="D63" s="5" t="s">
        <v>5</v>
      </c>
      <c r="E63" s="5" t="s">
        <v>14</v>
      </c>
      <c r="F63" s="5" t="s">
        <v>5</v>
      </c>
      <c r="G63" s="5" t="s">
        <v>14</v>
      </c>
      <c r="H63" s="5" t="s">
        <v>5</v>
      </c>
      <c r="I63" s="5" t="s">
        <v>5</v>
      </c>
      <c r="J63" s="5" t="s">
        <v>5</v>
      </c>
      <c r="K63" s="5" t="s">
        <v>111</v>
      </c>
      <c r="L63" s="5" t="s">
        <v>346</v>
      </c>
      <c r="M63" s="5" t="s">
        <v>300</v>
      </c>
      <c r="N63" s="10">
        <v>7</v>
      </c>
      <c r="O63" s="10">
        <v>2093</v>
      </c>
      <c r="P63" s="5"/>
      <c r="Q63" s="4" t="s">
        <v>353</v>
      </c>
      <c r="R63" s="4"/>
      <c r="S63" s="1">
        <f>IF(P63="",0,1)</f>
        <v>0</v>
      </c>
      <c r="T63" s="1">
        <f>IF(B63="126",1,0)</f>
        <v>0</v>
      </c>
    </row>
    <row r="64" spans="1:20" ht="21" customHeight="1" x14ac:dyDescent="0.25">
      <c r="A64" s="4" t="s">
        <v>706</v>
      </c>
      <c r="B64" s="4" t="s">
        <v>10</v>
      </c>
      <c r="C64" s="5" t="s">
        <v>5</v>
      </c>
      <c r="D64" s="5" t="s">
        <v>5</v>
      </c>
      <c r="E64" s="5" t="s">
        <v>14</v>
      </c>
      <c r="F64" s="5" t="s">
        <v>5</v>
      </c>
      <c r="G64" s="5" t="s">
        <v>14</v>
      </c>
      <c r="H64" s="5" t="s">
        <v>5</v>
      </c>
      <c r="I64" s="5" t="s">
        <v>5</v>
      </c>
      <c r="J64" s="5" t="s">
        <v>5</v>
      </c>
      <c r="K64" s="5" t="s">
        <v>112</v>
      </c>
      <c r="L64" s="5" t="s">
        <v>532</v>
      </c>
      <c r="M64" s="5" t="s">
        <v>533</v>
      </c>
      <c r="N64" s="10">
        <v>5</v>
      </c>
      <c r="O64" s="10">
        <v>1495</v>
      </c>
      <c r="P64" s="5"/>
      <c r="Q64" s="4" t="s">
        <v>353</v>
      </c>
      <c r="R64" s="4"/>
      <c r="S64" s="1">
        <f>IF(P64="",0,1)</f>
        <v>0</v>
      </c>
      <c r="T64" s="1">
        <f>IF(B64="126",1,0)</f>
        <v>0</v>
      </c>
    </row>
    <row r="65" spans="1:20" ht="21" customHeight="1" x14ac:dyDescent="0.25">
      <c r="A65" s="4" t="s">
        <v>709</v>
      </c>
      <c r="B65" s="4" t="s">
        <v>10</v>
      </c>
      <c r="C65" s="5" t="s">
        <v>5</v>
      </c>
      <c r="D65" s="5" t="s">
        <v>5</v>
      </c>
      <c r="E65" s="5" t="s">
        <v>14</v>
      </c>
      <c r="F65" s="5" t="s">
        <v>5</v>
      </c>
      <c r="G65" s="5" t="s">
        <v>14</v>
      </c>
      <c r="H65" s="5" t="s">
        <v>5</v>
      </c>
      <c r="I65" s="5" t="s">
        <v>5</v>
      </c>
      <c r="J65" s="5" t="s">
        <v>5</v>
      </c>
      <c r="K65" s="5" t="s">
        <v>113</v>
      </c>
      <c r="L65" s="5" t="s">
        <v>114</v>
      </c>
      <c r="M65" s="5" t="s">
        <v>534</v>
      </c>
      <c r="N65" s="10">
        <v>4</v>
      </c>
      <c r="O65" s="10">
        <v>1196</v>
      </c>
      <c r="P65" s="5"/>
      <c r="Q65" s="4" t="s">
        <v>353</v>
      </c>
      <c r="R65" s="4"/>
      <c r="S65" s="1">
        <f>IF(P65="",0,1)</f>
        <v>0</v>
      </c>
      <c r="T65" s="1">
        <f>IF(B65="126",1,0)</f>
        <v>0</v>
      </c>
    </row>
    <row r="66" spans="1:20" ht="21" customHeight="1" x14ac:dyDescent="0.25">
      <c r="A66" s="4" t="s">
        <v>893</v>
      </c>
      <c r="B66" s="4" t="s">
        <v>10</v>
      </c>
      <c r="C66" s="5" t="s">
        <v>5</v>
      </c>
      <c r="D66" s="5" t="s">
        <v>5</v>
      </c>
      <c r="E66" s="5" t="s">
        <v>14</v>
      </c>
      <c r="F66" s="5" t="s">
        <v>5</v>
      </c>
      <c r="G66" s="5" t="s">
        <v>14</v>
      </c>
      <c r="H66" s="5" t="s">
        <v>5</v>
      </c>
      <c r="I66" s="5" t="s">
        <v>5</v>
      </c>
      <c r="J66" s="5" t="s">
        <v>5</v>
      </c>
      <c r="K66" s="5" t="s">
        <v>115</v>
      </c>
      <c r="L66" s="5" t="s">
        <v>116</v>
      </c>
      <c r="M66" s="5" t="s">
        <v>535</v>
      </c>
      <c r="N66" s="10">
        <v>18</v>
      </c>
      <c r="O66" s="10">
        <v>5382</v>
      </c>
      <c r="P66" s="5"/>
      <c r="Q66" s="4" t="s">
        <v>353</v>
      </c>
      <c r="R66" s="4"/>
      <c r="S66" s="1">
        <f>IF(P66="",0,1)</f>
        <v>0</v>
      </c>
      <c r="T66" s="1">
        <f>IF(B66="126",1,0)</f>
        <v>0</v>
      </c>
    </row>
    <row r="67" spans="1:20" ht="21" customHeight="1" x14ac:dyDescent="0.25">
      <c r="A67" s="4" t="s">
        <v>712</v>
      </c>
      <c r="B67" s="4" t="s">
        <v>10</v>
      </c>
      <c r="C67" s="5" t="s">
        <v>5</v>
      </c>
      <c r="D67" s="5" t="s">
        <v>5</v>
      </c>
      <c r="E67" s="5" t="s">
        <v>14</v>
      </c>
      <c r="F67" s="5" t="s">
        <v>5</v>
      </c>
      <c r="G67" s="5" t="s">
        <v>14</v>
      </c>
      <c r="H67" s="5" t="s">
        <v>5</v>
      </c>
      <c r="I67" s="5" t="s">
        <v>5</v>
      </c>
      <c r="J67" s="5" t="s">
        <v>5</v>
      </c>
      <c r="K67" s="5" t="s">
        <v>117</v>
      </c>
      <c r="L67" s="5" t="s">
        <v>118</v>
      </c>
      <c r="M67" s="5" t="s">
        <v>311</v>
      </c>
      <c r="N67" s="10">
        <v>5</v>
      </c>
      <c r="O67" s="10">
        <v>1495</v>
      </c>
      <c r="P67" s="5"/>
      <c r="Q67" s="4" t="s">
        <v>353</v>
      </c>
      <c r="R67" s="4"/>
      <c r="S67" s="1">
        <f>IF(P67="",0,1)</f>
        <v>0</v>
      </c>
      <c r="T67" s="1">
        <f>IF(B67="126",1,0)</f>
        <v>0</v>
      </c>
    </row>
    <row r="68" spans="1:20" ht="21" customHeight="1" x14ac:dyDescent="0.25">
      <c r="A68" s="4" t="s">
        <v>894</v>
      </c>
      <c r="B68" s="4" t="s">
        <v>10</v>
      </c>
      <c r="C68" s="5" t="s">
        <v>5</v>
      </c>
      <c r="D68" s="5" t="s">
        <v>5</v>
      </c>
      <c r="E68" s="5" t="s">
        <v>14</v>
      </c>
      <c r="F68" s="5" t="s">
        <v>5</v>
      </c>
      <c r="G68" s="5" t="s">
        <v>14</v>
      </c>
      <c r="H68" s="5" t="s">
        <v>5</v>
      </c>
      <c r="I68" s="5" t="s">
        <v>5</v>
      </c>
      <c r="J68" s="5" t="s">
        <v>5</v>
      </c>
      <c r="K68" s="5" t="s">
        <v>119</v>
      </c>
      <c r="L68" s="5" t="s">
        <v>120</v>
      </c>
      <c r="M68" s="5" t="s">
        <v>536</v>
      </c>
      <c r="N68" s="10">
        <v>19</v>
      </c>
      <c r="O68" s="10">
        <v>5681</v>
      </c>
      <c r="P68" s="5"/>
      <c r="Q68" s="4" t="s">
        <v>353</v>
      </c>
      <c r="R68" s="4"/>
      <c r="S68" s="1">
        <f>IF(P68="",0,1)</f>
        <v>0</v>
      </c>
      <c r="T68" s="1">
        <f>IF(B68="126",1,0)</f>
        <v>0</v>
      </c>
    </row>
    <row r="69" spans="1:20" ht="21" customHeight="1" x14ac:dyDescent="0.25">
      <c r="A69" s="4" t="s">
        <v>715</v>
      </c>
      <c r="B69" s="4" t="s">
        <v>10</v>
      </c>
      <c r="C69" s="5" t="s">
        <v>5</v>
      </c>
      <c r="D69" s="5" t="s">
        <v>5</v>
      </c>
      <c r="E69" s="5" t="s">
        <v>14</v>
      </c>
      <c r="F69" s="5" t="s">
        <v>5</v>
      </c>
      <c r="G69" s="5" t="s">
        <v>14</v>
      </c>
      <c r="H69" s="5" t="s">
        <v>5</v>
      </c>
      <c r="I69" s="5" t="s">
        <v>5</v>
      </c>
      <c r="J69" s="5" t="s">
        <v>5</v>
      </c>
      <c r="K69" s="5" t="s">
        <v>122</v>
      </c>
      <c r="L69" s="5" t="s">
        <v>347</v>
      </c>
      <c r="M69" s="5" t="s">
        <v>359</v>
      </c>
      <c r="N69" s="10">
        <v>17</v>
      </c>
      <c r="O69" s="10">
        <v>5083</v>
      </c>
      <c r="P69" s="5"/>
      <c r="Q69" s="4" t="s">
        <v>353</v>
      </c>
      <c r="R69" s="4"/>
      <c r="S69" s="1">
        <f>IF(P69="",0,1)</f>
        <v>0</v>
      </c>
      <c r="T69" s="1">
        <f>IF(B69="126",1,0)</f>
        <v>0</v>
      </c>
    </row>
    <row r="70" spans="1:20" ht="21" customHeight="1" x14ac:dyDescent="0.25">
      <c r="A70" s="4" t="s">
        <v>895</v>
      </c>
      <c r="B70" s="4" t="s">
        <v>10</v>
      </c>
      <c r="C70" s="5" t="s">
        <v>5</v>
      </c>
      <c r="D70" s="5" t="s">
        <v>5</v>
      </c>
      <c r="E70" s="5" t="s">
        <v>14</v>
      </c>
      <c r="F70" s="5" t="s">
        <v>5</v>
      </c>
      <c r="G70" s="5" t="s">
        <v>14</v>
      </c>
      <c r="H70" s="5" t="s">
        <v>5</v>
      </c>
      <c r="I70" s="5" t="s">
        <v>5</v>
      </c>
      <c r="J70" s="5" t="s">
        <v>5</v>
      </c>
      <c r="K70" s="5" t="s">
        <v>123</v>
      </c>
      <c r="L70" s="5" t="s">
        <v>124</v>
      </c>
      <c r="M70" s="5" t="s">
        <v>125</v>
      </c>
      <c r="N70" s="10">
        <v>15</v>
      </c>
      <c r="O70" s="10">
        <v>4485</v>
      </c>
      <c r="P70" s="5"/>
      <c r="Q70" s="4" t="s">
        <v>353</v>
      </c>
      <c r="R70" s="4"/>
      <c r="S70" s="1">
        <f>IF(P70="",0,1)</f>
        <v>0</v>
      </c>
      <c r="T70" s="1">
        <f>IF(B70="126",1,0)</f>
        <v>0</v>
      </c>
    </row>
    <row r="71" spans="1:20" ht="21" customHeight="1" x14ac:dyDescent="0.25">
      <c r="A71" s="4" t="s">
        <v>896</v>
      </c>
      <c r="B71" s="4" t="s">
        <v>10</v>
      </c>
      <c r="C71" s="5" t="s">
        <v>5</v>
      </c>
      <c r="D71" s="5" t="s">
        <v>5</v>
      </c>
      <c r="E71" s="5" t="s">
        <v>14</v>
      </c>
      <c r="F71" s="5" t="s">
        <v>5</v>
      </c>
      <c r="G71" s="5" t="s">
        <v>14</v>
      </c>
      <c r="H71" s="5" t="s">
        <v>5</v>
      </c>
      <c r="I71" s="5" t="s">
        <v>5</v>
      </c>
      <c r="J71" s="5" t="s">
        <v>5</v>
      </c>
      <c r="K71" s="5" t="s">
        <v>126</v>
      </c>
      <c r="L71" s="5" t="s">
        <v>127</v>
      </c>
      <c r="M71" s="5" t="s">
        <v>537</v>
      </c>
      <c r="N71" s="10">
        <v>19</v>
      </c>
      <c r="O71" s="10">
        <v>5681</v>
      </c>
      <c r="P71" s="5"/>
      <c r="Q71" s="4" t="s">
        <v>353</v>
      </c>
      <c r="R71" s="4"/>
      <c r="S71" s="1">
        <f>IF(P71="",0,1)</f>
        <v>0</v>
      </c>
      <c r="T71" s="1">
        <f>IF(B71="126",1,0)</f>
        <v>0</v>
      </c>
    </row>
    <row r="72" spans="1:20" ht="21" customHeight="1" x14ac:dyDescent="0.25">
      <c r="A72" s="4" t="s">
        <v>897</v>
      </c>
      <c r="B72" s="4" t="s">
        <v>10</v>
      </c>
      <c r="C72" s="5" t="s">
        <v>5</v>
      </c>
      <c r="D72" s="5" t="s">
        <v>5</v>
      </c>
      <c r="E72" s="5" t="s">
        <v>14</v>
      </c>
      <c r="F72" s="5" t="s">
        <v>5</v>
      </c>
      <c r="G72" s="5" t="s">
        <v>14</v>
      </c>
      <c r="H72" s="5" t="s">
        <v>5</v>
      </c>
      <c r="I72" s="5" t="s">
        <v>5</v>
      </c>
      <c r="J72" s="5" t="s">
        <v>5</v>
      </c>
      <c r="K72" s="5" t="s">
        <v>128</v>
      </c>
      <c r="L72" s="5" t="s">
        <v>30</v>
      </c>
      <c r="M72" s="5" t="s">
        <v>312</v>
      </c>
      <c r="N72" s="10">
        <v>14</v>
      </c>
      <c r="O72" s="10">
        <v>4186</v>
      </c>
      <c r="P72" s="5"/>
      <c r="Q72" s="4" t="s">
        <v>353</v>
      </c>
      <c r="R72" s="4"/>
      <c r="S72" s="1">
        <f>IF(P72="",0,1)</f>
        <v>0</v>
      </c>
      <c r="T72" s="1">
        <f>IF(B72="126",1,0)</f>
        <v>0</v>
      </c>
    </row>
    <row r="73" spans="1:20" ht="21" customHeight="1" x14ac:dyDescent="0.25">
      <c r="A73" s="4" t="s">
        <v>194</v>
      </c>
      <c r="B73" s="4" t="s">
        <v>10</v>
      </c>
      <c r="C73" s="5" t="s">
        <v>5</v>
      </c>
      <c r="D73" s="5" t="s">
        <v>5</v>
      </c>
      <c r="E73" s="5" t="s">
        <v>14</v>
      </c>
      <c r="F73" s="5" t="s">
        <v>5</v>
      </c>
      <c r="G73" s="5" t="s">
        <v>14</v>
      </c>
      <c r="H73" s="5" t="s">
        <v>5</v>
      </c>
      <c r="I73" s="5" t="s">
        <v>5</v>
      </c>
      <c r="J73" s="5" t="s">
        <v>5</v>
      </c>
      <c r="K73" s="5" t="s">
        <v>129</v>
      </c>
      <c r="L73" s="5" t="s">
        <v>538</v>
      </c>
      <c r="M73" s="5" t="s">
        <v>501</v>
      </c>
      <c r="N73" s="10">
        <v>21</v>
      </c>
      <c r="O73" s="10">
        <v>6279</v>
      </c>
      <c r="P73" s="5"/>
      <c r="Q73" s="4" t="s">
        <v>353</v>
      </c>
      <c r="R73" s="4"/>
      <c r="S73" s="1">
        <f>IF(P73="",0,1)</f>
        <v>0</v>
      </c>
      <c r="T73" s="1">
        <f>IF(B73="126",1,0)</f>
        <v>0</v>
      </c>
    </row>
    <row r="74" spans="1:20" ht="21" customHeight="1" x14ac:dyDescent="0.25">
      <c r="A74" s="4" t="s">
        <v>898</v>
      </c>
      <c r="B74" s="4" t="s">
        <v>10</v>
      </c>
      <c r="C74" s="5" t="s">
        <v>5</v>
      </c>
      <c r="D74" s="5" t="s">
        <v>5</v>
      </c>
      <c r="E74" s="5" t="s">
        <v>14</v>
      </c>
      <c r="F74" s="5" t="s">
        <v>5</v>
      </c>
      <c r="G74" s="5" t="s">
        <v>14</v>
      </c>
      <c r="H74" s="5" t="s">
        <v>5</v>
      </c>
      <c r="I74" s="5" t="s">
        <v>5</v>
      </c>
      <c r="J74" s="5" t="s">
        <v>5</v>
      </c>
      <c r="K74" s="5" t="s">
        <v>130</v>
      </c>
      <c r="L74" s="5" t="s">
        <v>539</v>
      </c>
      <c r="M74" s="5" t="s">
        <v>360</v>
      </c>
      <c r="N74" s="10">
        <v>13</v>
      </c>
      <c r="O74" s="10">
        <v>3887</v>
      </c>
      <c r="P74" s="5"/>
      <c r="Q74" s="4" t="s">
        <v>353</v>
      </c>
      <c r="R74" s="4"/>
      <c r="S74" s="1">
        <f>IF(P74="",0,1)</f>
        <v>0</v>
      </c>
      <c r="T74" s="1">
        <f>IF(B74="126",1,0)</f>
        <v>0</v>
      </c>
    </row>
    <row r="75" spans="1:20" ht="21" customHeight="1" x14ac:dyDescent="0.25">
      <c r="A75" s="4" t="s">
        <v>899</v>
      </c>
      <c r="B75" s="4" t="s">
        <v>10</v>
      </c>
      <c r="C75" s="5" t="s">
        <v>5</v>
      </c>
      <c r="D75" s="5" t="s">
        <v>5</v>
      </c>
      <c r="E75" s="5" t="s">
        <v>14</v>
      </c>
      <c r="F75" s="5" t="s">
        <v>5</v>
      </c>
      <c r="G75" s="5" t="s">
        <v>14</v>
      </c>
      <c r="H75" s="5" t="s">
        <v>5</v>
      </c>
      <c r="I75" s="5" t="s">
        <v>5</v>
      </c>
      <c r="J75" s="5" t="s">
        <v>5</v>
      </c>
      <c r="K75" s="5" t="s">
        <v>131</v>
      </c>
      <c r="L75" s="5" t="s">
        <v>540</v>
      </c>
      <c r="M75" s="5" t="s">
        <v>541</v>
      </c>
      <c r="N75" s="10">
        <v>7</v>
      </c>
      <c r="O75" s="10">
        <v>2093</v>
      </c>
      <c r="P75" s="5"/>
      <c r="Q75" s="4" t="s">
        <v>353</v>
      </c>
      <c r="R75" s="4"/>
      <c r="S75" s="1">
        <f>IF(P75="",0,1)</f>
        <v>0</v>
      </c>
      <c r="T75" s="1">
        <f>IF(B75="126",1,0)</f>
        <v>0</v>
      </c>
    </row>
    <row r="76" spans="1:20" ht="21" customHeight="1" x14ac:dyDescent="0.25">
      <c r="A76" s="4" t="s">
        <v>900</v>
      </c>
      <c r="B76" s="4" t="s">
        <v>10</v>
      </c>
      <c r="C76" s="5" t="s">
        <v>5</v>
      </c>
      <c r="D76" s="5" t="s">
        <v>5</v>
      </c>
      <c r="E76" s="5" t="s">
        <v>14</v>
      </c>
      <c r="F76" s="5" t="s">
        <v>5</v>
      </c>
      <c r="G76" s="5" t="s">
        <v>14</v>
      </c>
      <c r="H76" s="5" t="s">
        <v>5</v>
      </c>
      <c r="I76" s="5" t="s">
        <v>5</v>
      </c>
      <c r="J76" s="5" t="s">
        <v>5</v>
      </c>
      <c r="K76" s="5" t="s">
        <v>132</v>
      </c>
      <c r="L76" s="5" t="s">
        <v>133</v>
      </c>
      <c r="M76" s="5" t="s">
        <v>542</v>
      </c>
      <c r="N76" s="10">
        <v>4</v>
      </c>
      <c r="O76" s="10">
        <v>1196</v>
      </c>
      <c r="P76" s="5"/>
      <c r="Q76" s="4" t="s">
        <v>353</v>
      </c>
      <c r="R76" s="4"/>
      <c r="S76" s="1">
        <f>IF(P76="",0,1)</f>
        <v>0</v>
      </c>
      <c r="T76" s="1">
        <f>IF(B76="126",1,0)</f>
        <v>0</v>
      </c>
    </row>
    <row r="77" spans="1:20" ht="21" customHeight="1" x14ac:dyDescent="0.25">
      <c r="A77" s="4" t="s">
        <v>901</v>
      </c>
      <c r="B77" s="4" t="s">
        <v>10</v>
      </c>
      <c r="C77" s="5" t="s">
        <v>5</v>
      </c>
      <c r="D77" s="5" t="s">
        <v>5</v>
      </c>
      <c r="E77" s="5" t="s">
        <v>14</v>
      </c>
      <c r="F77" s="5" t="s">
        <v>5</v>
      </c>
      <c r="G77" s="5" t="s">
        <v>14</v>
      </c>
      <c r="H77" s="5" t="s">
        <v>5</v>
      </c>
      <c r="I77" s="5" t="s">
        <v>5</v>
      </c>
      <c r="J77" s="5" t="s">
        <v>5</v>
      </c>
      <c r="K77" s="5" t="s">
        <v>134</v>
      </c>
      <c r="L77" s="5" t="s">
        <v>342</v>
      </c>
      <c r="M77" s="5" t="s">
        <v>543</v>
      </c>
      <c r="N77" s="10">
        <v>6</v>
      </c>
      <c r="O77" s="10">
        <v>1794</v>
      </c>
      <c r="P77" s="5"/>
      <c r="Q77" s="4" t="s">
        <v>353</v>
      </c>
      <c r="R77" s="4"/>
      <c r="S77" s="1">
        <f>IF(P77="",0,1)</f>
        <v>0</v>
      </c>
      <c r="T77" s="1">
        <f>IF(B77="126",1,0)</f>
        <v>0</v>
      </c>
    </row>
    <row r="78" spans="1:20" ht="21" customHeight="1" x14ac:dyDescent="0.25">
      <c r="A78" s="4" t="s">
        <v>902</v>
      </c>
      <c r="B78" s="4" t="s">
        <v>10</v>
      </c>
      <c r="C78" s="5" t="s">
        <v>5</v>
      </c>
      <c r="D78" s="5" t="s">
        <v>5</v>
      </c>
      <c r="E78" s="5" t="s">
        <v>14</v>
      </c>
      <c r="F78" s="5" t="s">
        <v>5</v>
      </c>
      <c r="G78" s="5" t="s">
        <v>14</v>
      </c>
      <c r="H78" s="5" t="s">
        <v>5</v>
      </c>
      <c r="I78" s="5" t="s">
        <v>5</v>
      </c>
      <c r="J78" s="5" t="s">
        <v>5</v>
      </c>
      <c r="K78" s="5" t="s">
        <v>135</v>
      </c>
      <c r="L78" s="5" t="s">
        <v>544</v>
      </c>
      <c r="M78" s="5" t="s">
        <v>299</v>
      </c>
      <c r="N78" s="10">
        <v>13</v>
      </c>
      <c r="O78" s="10">
        <v>3887</v>
      </c>
      <c r="P78" s="5"/>
      <c r="Q78" s="4" t="s">
        <v>353</v>
      </c>
      <c r="R78" s="4"/>
      <c r="S78" s="1">
        <f>IF(P78="",0,1)</f>
        <v>0</v>
      </c>
      <c r="T78" s="1">
        <f>IF(B78="126",1,0)</f>
        <v>0</v>
      </c>
    </row>
    <row r="79" spans="1:20" ht="21" customHeight="1" x14ac:dyDescent="0.25">
      <c r="A79" s="4" t="s">
        <v>903</v>
      </c>
      <c r="B79" s="4" t="s">
        <v>10</v>
      </c>
      <c r="C79" s="5" t="s">
        <v>5</v>
      </c>
      <c r="D79" s="5" t="s">
        <v>5</v>
      </c>
      <c r="E79" s="5" t="s">
        <v>14</v>
      </c>
      <c r="F79" s="5" t="s">
        <v>5</v>
      </c>
      <c r="G79" s="5" t="s">
        <v>14</v>
      </c>
      <c r="H79" s="5" t="s">
        <v>5</v>
      </c>
      <c r="I79" s="5" t="s">
        <v>5</v>
      </c>
      <c r="J79" s="5" t="s">
        <v>5</v>
      </c>
      <c r="K79" s="5" t="s">
        <v>361</v>
      </c>
      <c r="L79" s="5" t="s">
        <v>545</v>
      </c>
      <c r="M79" s="5" t="s">
        <v>546</v>
      </c>
      <c r="N79" s="10">
        <v>15</v>
      </c>
      <c r="O79" s="10">
        <v>4485</v>
      </c>
      <c r="P79" s="5"/>
      <c r="Q79" s="4" t="s">
        <v>353</v>
      </c>
      <c r="R79" s="4"/>
      <c r="S79" s="1">
        <f>IF(P79="",0,1)</f>
        <v>0</v>
      </c>
      <c r="T79" s="1">
        <f>IF(B79="126",1,0)</f>
        <v>0</v>
      </c>
    </row>
    <row r="80" spans="1:20" ht="21" customHeight="1" x14ac:dyDescent="0.25">
      <c r="A80" s="4" t="s">
        <v>904</v>
      </c>
      <c r="B80" s="4" t="s">
        <v>10</v>
      </c>
      <c r="C80" s="5" t="s">
        <v>5</v>
      </c>
      <c r="D80" s="5" t="s">
        <v>5</v>
      </c>
      <c r="E80" s="5" t="s">
        <v>14</v>
      </c>
      <c r="F80" s="5" t="s">
        <v>5</v>
      </c>
      <c r="G80" s="5" t="s">
        <v>14</v>
      </c>
      <c r="H80" s="5" t="s">
        <v>5</v>
      </c>
      <c r="I80" s="5" t="s">
        <v>5</v>
      </c>
      <c r="J80" s="5" t="s">
        <v>5</v>
      </c>
      <c r="K80" s="5" t="s">
        <v>1038</v>
      </c>
      <c r="L80" s="5" t="s">
        <v>1039</v>
      </c>
      <c r="M80" s="5" t="s">
        <v>1040</v>
      </c>
      <c r="N80" s="10">
        <v>4</v>
      </c>
      <c r="O80" s="10">
        <v>1196</v>
      </c>
      <c r="P80" s="5"/>
      <c r="Q80" s="4" t="s">
        <v>353</v>
      </c>
      <c r="R80" s="4"/>
      <c r="S80" s="1">
        <f>IF(P80="",0,1)</f>
        <v>0</v>
      </c>
      <c r="T80" s="1">
        <f>IF(B80="126",1,0)</f>
        <v>0</v>
      </c>
    </row>
    <row r="81" spans="1:20" ht="21" customHeight="1" x14ac:dyDescent="0.25">
      <c r="A81" s="4" t="s">
        <v>195</v>
      </c>
      <c r="B81" s="4" t="s">
        <v>10</v>
      </c>
      <c r="C81" s="5" t="s">
        <v>5</v>
      </c>
      <c r="D81" s="5" t="s">
        <v>5</v>
      </c>
      <c r="E81" s="5" t="s">
        <v>14</v>
      </c>
      <c r="F81" s="5" t="s">
        <v>5</v>
      </c>
      <c r="G81" s="5" t="s">
        <v>14</v>
      </c>
      <c r="H81" s="5" t="s">
        <v>5</v>
      </c>
      <c r="I81" s="5" t="s">
        <v>5</v>
      </c>
      <c r="J81" s="5" t="s">
        <v>5</v>
      </c>
      <c r="K81" s="5" t="s">
        <v>362</v>
      </c>
      <c r="L81" s="5" t="s">
        <v>445</v>
      </c>
      <c r="M81" s="5" t="s">
        <v>547</v>
      </c>
      <c r="N81" s="10">
        <v>10</v>
      </c>
      <c r="O81" s="10">
        <v>2990</v>
      </c>
      <c r="P81" s="5"/>
      <c r="Q81" s="4" t="s">
        <v>353</v>
      </c>
      <c r="R81" s="4"/>
      <c r="S81" s="1">
        <f>IF(P81="",0,1)</f>
        <v>0</v>
      </c>
      <c r="T81" s="1">
        <f>IF(B81="126",1,0)</f>
        <v>0</v>
      </c>
    </row>
    <row r="82" spans="1:20" ht="21" customHeight="1" x14ac:dyDescent="0.25">
      <c r="A82" s="4" t="s">
        <v>196</v>
      </c>
      <c r="B82" s="4" t="s">
        <v>10</v>
      </c>
      <c r="C82" s="5" t="s">
        <v>5</v>
      </c>
      <c r="D82" s="5" t="s">
        <v>5</v>
      </c>
      <c r="E82" s="5" t="s">
        <v>14</v>
      </c>
      <c r="F82" s="5" t="s">
        <v>5</v>
      </c>
      <c r="G82" s="5" t="s">
        <v>14</v>
      </c>
      <c r="H82" s="5" t="s">
        <v>5</v>
      </c>
      <c r="I82" s="5" t="s">
        <v>5</v>
      </c>
      <c r="J82" s="5" t="s">
        <v>5</v>
      </c>
      <c r="K82" s="5" t="s">
        <v>364</v>
      </c>
      <c r="L82" s="5" t="s">
        <v>548</v>
      </c>
      <c r="M82" s="5" t="s">
        <v>549</v>
      </c>
      <c r="N82" s="10">
        <v>10</v>
      </c>
      <c r="O82" s="10">
        <v>2990</v>
      </c>
      <c r="P82" s="5"/>
      <c r="Q82" s="4" t="s">
        <v>353</v>
      </c>
      <c r="R82" s="4"/>
      <c r="S82" s="1">
        <f>IF(P82="",0,1)</f>
        <v>0</v>
      </c>
      <c r="T82" s="1">
        <f>IF(B82="126",1,0)</f>
        <v>0</v>
      </c>
    </row>
    <row r="83" spans="1:20" ht="21" customHeight="1" x14ac:dyDescent="0.25">
      <c r="A83" s="4" t="s">
        <v>905</v>
      </c>
      <c r="B83" s="4" t="s">
        <v>10</v>
      </c>
      <c r="C83" s="5" t="s">
        <v>5</v>
      </c>
      <c r="D83" s="5" t="s">
        <v>5</v>
      </c>
      <c r="E83" s="5" t="s">
        <v>14</v>
      </c>
      <c r="F83" s="5" t="s">
        <v>5</v>
      </c>
      <c r="G83" s="5" t="s">
        <v>14</v>
      </c>
      <c r="H83" s="5" t="s">
        <v>5</v>
      </c>
      <c r="I83" s="5" t="s">
        <v>5</v>
      </c>
      <c r="J83" s="5" t="s">
        <v>5</v>
      </c>
      <c r="K83" s="5" t="s">
        <v>365</v>
      </c>
      <c r="L83" s="5" t="s">
        <v>550</v>
      </c>
      <c r="M83" s="5" t="s">
        <v>551</v>
      </c>
      <c r="N83" s="10">
        <v>6</v>
      </c>
      <c r="O83" s="10">
        <v>1794</v>
      </c>
      <c r="P83" s="5"/>
      <c r="Q83" s="4" t="s">
        <v>353</v>
      </c>
      <c r="R83" s="4"/>
      <c r="S83" s="1">
        <f>IF(P83="",0,1)</f>
        <v>0</v>
      </c>
      <c r="T83" s="1">
        <f>IF(B83="126",1,0)</f>
        <v>0</v>
      </c>
    </row>
    <row r="84" spans="1:20" ht="21" customHeight="1" x14ac:dyDescent="0.25">
      <c r="A84" s="4" t="s">
        <v>197</v>
      </c>
      <c r="B84" s="4" t="s">
        <v>10</v>
      </c>
      <c r="C84" s="5" t="s">
        <v>5</v>
      </c>
      <c r="D84" s="5" t="s">
        <v>5</v>
      </c>
      <c r="E84" s="5" t="s">
        <v>14</v>
      </c>
      <c r="F84" s="5" t="s">
        <v>5</v>
      </c>
      <c r="G84" s="5" t="s">
        <v>14</v>
      </c>
      <c r="H84" s="5" t="s">
        <v>5</v>
      </c>
      <c r="I84" s="5" t="s">
        <v>5</v>
      </c>
      <c r="J84" s="5" t="s">
        <v>5</v>
      </c>
      <c r="K84" s="5" t="s">
        <v>366</v>
      </c>
      <c r="L84" s="5" t="s">
        <v>552</v>
      </c>
      <c r="M84" s="5" t="s">
        <v>443</v>
      </c>
      <c r="N84" s="10">
        <v>4</v>
      </c>
      <c r="O84" s="10">
        <v>1196</v>
      </c>
      <c r="P84" s="5"/>
      <c r="Q84" s="4" t="s">
        <v>353</v>
      </c>
      <c r="R84" s="4"/>
      <c r="S84" s="1">
        <f>IF(P84="",0,1)</f>
        <v>0</v>
      </c>
      <c r="T84" s="1">
        <f>IF(B84="126",1,0)</f>
        <v>0</v>
      </c>
    </row>
    <row r="85" spans="1:20" ht="21" customHeight="1" x14ac:dyDescent="0.25">
      <c r="A85" s="4" t="s">
        <v>198</v>
      </c>
      <c r="B85" s="4" t="s">
        <v>10</v>
      </c>
      <c r="C85" s="5" t="s">
        <v>5</v>
      </c>
      <c r="D85" s="5" t="s">
        <v>5</v>
      </c>
      <c r="E85" s="5" t="s">
        <v>14</v>
      </c>
      <c r="F85" s="5" t="s">
        <v>5</v>
      </c>
      <c r="G85" s="5" t="s">
        <v>14</v>
      </c>
      <c r="H85" s="5" t="s">
        <v>5</v>
      </c>
      <c r="I85" s="5" t="s">
        <v>5</v>
      </c>
      <c r="J85" s="5" t="s">
        <v>5</v>
      </c>
      <c r="K85" s="5" t="s">
        <v>553</v>
      </c>
      <c r="L85" s="5" t="s">
        <v>554</v>
      </c>
      <c r="M85" s="5" t="s">
        <v>555</v>
      </c>
      <c r="N85" s="10">
        <v>5</v>
      </c>
      <c r="O85" s="10">
        <v>1495</v>
      </c>
      <c r="P85" s="5"/>
      <c r="Q85" s="4" t="s">
        <v>353</v>
      </c>
      <c r="R85" s="4"/>
      <c r="S85" s="1">
        <f>IF(P85="",0,1)</f>
        <v>0</v>
      </c>
      <c r="T85" s="1">
        <f>IF(B85="126",1,0)</f>
        <v>0</v>
      </c>
    </row>
    <row r="86" spans="1:20" ht="21" customHeight="1" x14ac:dyDescent="0.25">
      <c r="A86" s="4" t="s">
        <v>199</v>
      </c>
      <c r="B86" s="4" t="s">
        <v>10</v>
      </c>
      <c r="C86" s="5" t="s">
        <v>5</v>
      </c>
      <c r="D86" s="5" t="s">
        <v>5</v>
      </c>
      <c r="E86" s="5" t="s">
        <v>14</v>
      </c>
      <c r="F86" s="5" t="s">
        <v>5</v>
      </c>
      <c r="G86" s="5" t="s">
        <v>14</v>
      </c>
      <c r="H86" s="5" t="s">
        <v>5</v>
      </c>
      <c r="I86" s="5" t="s">
        <v>5</v>
      </c>
      <c r="J86" s="5" t="s">
        <v>5</v>
      </c>
      <c r="K86" s="5" t="s">
        <v>367</v>
      </c>
      <c r="L86" s="5" t="s">
        <v>556</v>
      </c>
      <c r="M86" s="5" t="s">
        <v>557</v>
      </c>
      <c r="N86" s="10">
        <v>15</v>
      </c>
      <c r="O86" s="10">
        <v>4485</v>
      </c>
      <c r="P86" s="5"/>
      <c r="Q86" s="4" t="s">
        <v>353</v>
      </c>
      <c r="R86" s="4"/>
      <c r="S86" s="1">
        <f>IF(P86="",0,1)</f>
        <v>0</v>
      </c>
      <c r="T86" s="1">
        <f>IF(B86="126",1,0)</f>
        <v>0</v>
      </c>
    </row>
    <row r="87" spans="1:20" ht="21" customHeight="1" x14ac:dyDescent="0.25">
      <c r="A87" s="4" t="s">
        <v>200</v>
      </c>
      <c r="B87" s="4" t="s">
        <v>10</v>
      </c>
      <c r="C87" s="5" t="s">
        <v>5</v>
      </c>
      <c r="D87" s="5" t="s">
        <v>5</v>
      </c>
      <c r="E87" s="5" t="s">
        <v>14</v>
      </c>
      <c r="F87" s="5" t="s">
        <v>5</v>
      </c>
      <c r="G87" s="5" t="s">
        <v>14</v>
      </c>
      <c r="H87" s="5" t="s">
        <v>5</v>
      </c>
      <c r="I87" s="5" t="s">
        <v>5</v>
      </c>
      <c r="J87" s="5" t="s">
        <v>5</v>
      </c>
      <c r="K87" s="5" t="s">
        <v>558</v>
      </c>
      <c r="L87" s="5" t="s">
        <v>284</v>
      </c>
      <c r="M87" s="5" t="s">
        <v>559</v>
      </c>
      <c r="N87" s="10">
        <v>19</v>
      </c>
      <c r="O87" s="10">
        <v>5681</v>
      </c>
      <c r="P87" s="5"/>
      <c r="Q87" s="4" t="s">
        <v>353</v>
      </c>
      <c r="R87" s="4"/>
      <c r="S87" s="1">
        <f>IF(P87="",0,1)</f>
        <v>0</v>
      </c>
      <c r="T87" s="1">
        <f>IF(B87="126",1,0)</f>
        <v>0</v>
      </c>
    </row>
    <row r="88" spans="1:20" ht="21" customHeight="1" x14ac:dyDescent="0.25">
      <c r="A88" s="4" t="s">
        <v>201</v>
      </c>
      <c r="B88" s="4" t="s">
        <v>10</v>
      </c>
      <c r="C88" s="5" t="s">
        <v>5</v>
      </c>
      <c r="D88" s="5" t="s">
        <v>5</v>
      </c>
      <c r="E88" s="5" t="s">
        <v>14</v>
      </c>
      <c r="F88" s="5" t="s">
        <v>5</v>
      </c>
      <c r="G88" s="5" t="s">
        <v>14</v>
      </c>
      <c r="H88" s="5" t="s">
        <v>5</v>
      </c>
      <c r="I88" s="5" t="s">
        <v>5</v>
      </c>
      <c r="J88" s="5" t="s">
        <v>5</v>
      </c>
      <c r="K88" s="5" t="s">
        <v>136</v>
      </c>
      <c r="L88" s="5" t="s">
        <v>560</v>
      </c>
      <c r="M88" s="5" t="s">
        <v>561</v>
      </c>
      <c r="N88" s="10">
        <v>6</v>
      </c>
      <c r="O88" s="10">
        <v>1794</v>
      </c>
      <c r="P88" s="5"/>
      <c r="Q88" s="4" t="s">
        <v>353</v>
      </c>
      <c r="R88" s="4"/>
      <c r="S88" s="1">
        <f>IF(P88="",0,1)</f>
        <v>0</v>
      </c>
      <c r="T88" s="1">
        <f>IF(B88="126",1,0)</f>
        <v>0</v>
      </c>
    </row>
    <row r="89" spans="1:20" ht="21" customHeight="1" x14ac:dyDescent="0.25">
      <c r="A89" s="4" t="s">
        <v>906</v>
      </c>
      <c r="B89" s="4" t="s">
        <v>10</v>
      </c>
      <c r="C89" s="5" t="s">
        <v>5</v>
      </c>
      <c r="D89" s="5" t="s">
        <v>5</v>
      </c>
      <c r="E89" s="5" t="s">
        <v>14</v>
      </c>
      <c r="F89" s="5" t="s">
        <v>5</v>
      </c>
      <c r="G89" s="5" t="s">
        <v>14</v>
      </c>
      <c r="H89" s="5" t="s">
        <v>5</v>
      </c>
      <c r="I89" s="5" t="s">
        <v>5</v>
      </c>
      <c r="J89" s="5" t="s">
        <v>5</v>
      </c>
      <c r="K89" s="5" t="s">
        <v>562</v>
      </c>
      <c r="L89" s="5" t="s">
        <v>563</v>
      </c>
      <c r="M89" s="5" t="s">
        <v>564</v>
      </c>
      <c r="N89" s="10">
        <v>5</v>
      </c>
      <c r="O89" s="10">
        <v>1495</v>
      </c>
      <c r="P89" s="5"/>
      <c r="Q89" s="4" t="s">
        <v>353</v>
      </c>
      <c r="R89" s="4"/>
      <c r="S89" s="1">
        <f>IF(P89="",0,1)</f>
        <v>0</v>
      </c>
      <c r="T89" s="1">
        <f>IF(B89="126",1,0)</f>
        <v>0</v>
      </c>
    </row>
    <row r="90" spans="1:20" ht="21" customHeight="1" x14ac:dyDescent="0.25">
      <c r="A90" s="4" t="s">
        <v>772</v>
      </c>
      <c r="B90" s="4" t="s">
        <v>10</v>
      </c>
      <c r="C90" s="5" t="s">
        <v>5</v>
      </c>
      <c r="D90" s="5" t="s">
        <v>5</v>
      </c>
      <c r="E90" s="5" t="s">
        <v>14</v>
      </c>
      <c r="F90" s="5" t="s">
        <v>5</v>
      </c>
      <c r="G90" s="5" t="s">
        <v>14</v>
      </c>
      <c r="H90" s="5" t="s">
        <v>5</v>
      </c>
      <c r="I90" s="5" t="s">
        <v>5</v>
      </c>
      <c r="J90" s="5" t="s">
        <v>5</v>
      </c>
      <c r="K90" s="5" t="s">
        <v>565</v>
      </c>
      <c r="L90" s="5" t="s">
        <v>566</v>
      </c>
      <c r="M90" s="5" t="s">
        <v>567</v>
      </c>
      <c r="N90" s="10">
        <v>3</v>
      </c>
      <c r="O90" s="10">
        <v>897</v>
      </c>
      <c r="P90" s="5"/>
      <c r="Q90" s="4" t="s">
        <v>353</v>
      </c>
      <c r="R90" s="4"/>
      <c r="S90" s="1">
        <f>IF(P90="",0,1)</f>
        <v>0</v>
      </c>
      <c r="T90" s="1">
        <f>IF(B90="126",1,0)</f>
        <v>0</v>
      </c>
    </row>
    <row r="91" spans="1:20" ht="21" customHeight="1" x14ac:dyDescent="0.25">
      <c r="A91" s="4" t="s">
        <v>202</v>
      </c>
      <c r="B91" s="4" t="s">
        <v>10</v>
      </c>
      <c r="C91" s="5" t="s">
        <v>5</v>
      </c>
      <c r="D91" s="5" t="s">
        <v>5</v>
      </c>
      <c r="E91" s="5" t="s">
        <v>14</v>
      </c>
      <c r="F91" s="5" t="s">
        <v>5</v>
      </c>
      <c r="G91" s="5" t="s">
        <v>14</v>
      </c>
      <c r="H91" s="5" t="s">
        <v>5</v>
      </c>
      <c r="I91" s="5" t="s">
        <v>5</v>
      </c>
      <c r="J91" s="5" t="s">
        <v>5</v>
      </c>
      <c r="K91" s="5" t="s">
        <v>368</v>
      </c>
      <c r="L91" s="5" t="s">
        <v>568</v>
      </c>
      <c r="M91" s="5" t="s">
        <v>299</v>
      </c>
      <c r="N91" s="10">
        <v>12</v>
      </c>
      <c r="O91" s="10">
        <v>3588</v>
      </c>
      <c r="P91" s="5"/>
      <c r="Q91" s="4" t="s">
        <v>353</v>
      </c>
      <c r="R91" s="4"/>
      <c r="S91" s="1">
        <f>IF(P91="",0,1)</f>
        <v>0</v>
      </c>
      <c r="T91" s="1">
        <f>IF(B91="126",1,0)</f>
        <v>0</v>
      </c>
    </row>
    <row r="92" spans="1:20" ht="21" customHeight="1" x14ac:dyDescent="0.25">
      <c r="A92" s="4" t="s">
        <v>203</v>
      </c>
      <c r="B92" s="4" t="s">
        <v>10</v>
      </c>
      <c r="C92" s="5" t="s">
        <v>5</v>
      </c>
      <c r="D92" s="5" t="s">
        <v>5</v>
      </c>
      <c r="E92" s="5" t="s">
        <v>14</v>
      </c>
      <c r="F92" s="5" t="s">
        <v>5</v>
      </c>
      <c r="G92" s="5" t="s">
        <v>14</v>
      </c>
      <c r="H92" s="5" t="s">
        <v>5</v>
      </c>
      <c r="I92" s="5" t="s">
        <v>5</v>
      </c>
      <c r="J92" s="5" t="s">
        <v>5</v>
      </c>
      <c r="K92" s="5" t="s">
        <v>369</v>
      </c>
      <c r="L92" s="5" t="s">
        <v>280</v>
      </c>
      <c r="M92" s="5" t="s">
        <v>569</v>
      </c>
      <c r="N92" s="10">
        <v>7</v>
      </c>
      <c r="O92" s="10">
        <v>2093</v>
      </c>
      <c r="P92" s="5"/>
      <c r="Q92" s="4" t="s">
        <v>353</v>
      </c>
      <c r="R92" s="4"/>
      <c r="S92" s="1">
        <f>IF(P92="",0,1)</f>
        <v>0</v>
      </c>
      <c r="T92" s="1">
        <f>IF(B92="126",1,0)</f>
        <v>0</v>
      </c>
    </row>
    <row r="93" spans="1:20" ht="21" customHeight="1" x14ac:dyDescent="0.25">
      <c r="A93" s="4" t="s">
        <v>204</v>
      </c>
      <c r="B93" s="4" t="s">
        <v>10</v>
      </c>
      <c r="C93" s="5" t="s">
        <v>5</v>
      </c>
      <c r="D93" s="5" t="s">
        <v>5</v>
      </c>
      <c r="E93" s="5" t="s">
        <v>14</v>
      </c>
      <c r="F93" s="5" t="s">
        <v>5</v>
      </c>
      <c r="G93" s="5" t="s">
        <v>14</v>
      </c>
      <c r="H93" s="5" t="s">
        <v>5</v>
      </c>
      <c r="I93" s="5" t="s">
        <v>5</v>
      </c>
      <c r="J93" s="5" t="s">
        <v>5</v>
      </c>
      <c r="K93" s="5" t="s">
        <v>137</v>
      </c>
      <c r="L93" s="5" t="s">
        <v>138</v>
      </c>
      <c r="M93" s="5" t="s">
        <v>279</v>
      </c>
      <c r="N93" s="10">
        <v>7</v>
      </c>
      <c r="O93" s="10">
        <v>2093</v>
      </c>
      <c r="P93" s="5"/>
      <c r="Q93" s="4" t="s">
        <v>353</v>
      </c>
      <c r="R93" s="4"/>
      <c r="S93" s="1">
        <f>IF(P93="",0,1)</f>
        <v>0</v>
      </c>
      <c r="T93" s="1">
        <f>IF(B93="126",1,0)</f>
        <v>0</v>
      </c>
    </row>
    <row r="94" spans="1:20" ht="21" customHeight="1" x14ac:dyDescent="0.25">
      <c r="A94" s="4" t="s">
        <v>205</v>
      </c>
      <c r="B94" s="4" t="s">
        <v>10</v>
      </c>
      <c r="C94" s="5" t="s">
        <v>5</v>
      </c>
      <c r="D94" s="5" t="s">
        <v>5</v>
      </c>
      <c r="E94" s="5" t="s">
        <v>14</v>
      </c>
      <c r="F94" s="5" t="s">
        <v>5</v>
      </c>
      <c r="G94" s="5" t="s">
        <v>14</v>
      </c>
      <c r="H94" s="5" t="s">
        <v>5</v>
      </c>
      <c r="I94" s="5" t="s">
        <v>5</v>
      </c>
      <c r="J94" s="5" t="s">
        <v>5</v>
      </c>
      <c r="K94" s="5" t="s">
        <v>139</v>
      </c>
      <c r="L94" s="5" t="s">
        <v>140</v>
      </c>
      <c r="M94" s="5" t="s">
        <v>570</v>
      </c>
      <c r="N94" s="10">
        <v>6</v>
      </c>
      <c r="O94" s="10">
        <v>1794</v>
      </c>
      <c r="P94" s="5"/>
      <c r="Q94" s="4" t="s">
        <v>353</v>
      </c>
      <c r="R94" s="4"/>
      <c r="S94" s="1">
        <f>IF(P94="",0,1)</f>
        <v>0</v>
      </c>
      <c r="T94" s="1">
        <f>IF(B94="126",1,0)</f>
        <v>0</v>
      </c>
    </row>
    <row r="95" spans="1:20" ht="21" customHeight="1" x14ac:dyDescent="0.25">
      <c r="A95" s="4" t="s">
        <v>206</v>
      </c>
      <c r="B95" s="4" t="s">
        <v>10</v>
      </c>
      <c r="C95" s="5" t="s">
        <v>5</v>
      </c>
      <c r="D95" s="5" t="s">
        <v>5</v>
      </c>
      <c r="E95" s="5" t="s">
        <v>14</v>
      </c>
      <c r="F95" s="5" t="s">
        <v>5</v>
      </c>
      <c r="G95" s="5" t="s">
        <v>14</v>
      </c>
      <c r="H95" s="5" t="s">
        <v>5</v>
      </c>
      <c r="I95" s="5" t="s">
        <v>5</v>
      </c>
      <c r="J95" s="5" t="s">
        <v>5</v>
      </c>
      <c r="K95" s="5" t="s">
        <v>141</v>
      </c>
      <c r="L95" s="5" t="s">
        <v>348</v>
      </c>
      <c r="M95" s="5" t="s">
        <v>142</v>
      </c>
      <c r="N95" s="10">
        <v>15</v>
      </c>
      <c r="O95" s="10">
        <v>4485</v>
      </c>
      <c r="P95" s="5"/>
      <c r="Q95" s="4" t="s">
        <v>353</v>
      </c>
      <c r="R95" s="4"/>
      <c r="S95" s="1">
        <f>IF(P95="",0,1)</f>
        <v>0</v>
      </c>
      <c r="T95" s="1">
        <f>IF(B95="126",1,0)</f>
        <v>0</v>
      </c>
    </row>
    <row r="96" spans="1:20" ht="21" customHeight="1" x14ac:dyDescent="0.25">
      <c r="A96" s="4" t="s">
        <v>907</v>
      </c>
      <c r="B96" s="4" t="s">
        <v>10</v>
      </c>
      <c r="C96" s="5" t="s">
        <v>5</v>
      </c>
      <c r="D96" s="5" t="s">
        <v>5</v>
      </c>
      <c r="E96" s="5" t="s">
        <v>14</v>
      </c>
      <c r="F96" s="5" t="s">
        <v>5</v>
      </c>
      <c r="G96" s="5" t="s">
        <v>14</v>
      </c>
      <c r="H96" s="5" t="s">
        <v>5</v>
      </c>
      <c r="I96" s="5" t="s">
        <v>5</v>
      </c>
      <c r="J96" s="5" t="s">
        <v>5</v>
      </c>
      <c r="K96" s="5" t="s">
        <v>571</v>
      </c>
      <c r="L96" s="5" t="s">
        <v>572</v>
      </c>
      <c r="M96" s="5" t="s">
        <v>573</v>
      </c>
      <c r="N96" s="10">
        <v>6</v>
      </c>
      <c r="O96" s="10">
        <v>1794</v>
      </c>
      <c r="P96" s="5"/>
      <c r="Q96" s="4" t="s">
        <v>353</v>
      </c>
      <c r="R96" s="4"/>
      <c r="S96" s="1">
        <f>IF(P96="",0,1)</f>
        <v>0</v>
      </c>
      <c r="T96" s="1">
        <f>IF(B96="126",1,0)</f>
        <v>0</v>
      </c>
    </row>
    <row r="97" spans="1:20" ht="21" customHeight="1" x14ac:dyDescent="0.25">
      <c r="A97" s="4" t="s">
        <v>908</v>
      </c>
      <c r="B97" s="4" t="s">
        <v>10</v>
      </c>
      <c r="C97" s="5" t="s">
        <v>5</v>
      </c>
      <c r="D97" s="5" t="s">
        <v>5</v>
      </c>
      <c r="E97" s="5" t="s">
        <v>14</v>
      </c>
      <c r="F97" s="5" t="s">
        <v>5</v>
      </c>
      <c r="G97" s="5" t="s">
        <v>14</v>
      </c>
      <c r="H97" s="5" t="s">
        <v>5</v>
      </c>
      <c r="I97" s="5" t="s">
        <v>5</v>
      </c>
      <c r="J97" s="5" t="s">
        <v>5</v>
      </c>
      <c r="K97" s="5" t="s">
        <v>370</v>
      </c>
      <c r="L97" s="5" t="s">
        <v>574</v>
      </c>
      <c r="M97" s="5" t="s">
        <v>575</v>
      </c>
      <c r="N97" s="10">
        <v>9</v>
      </c>
      <c r="O97" s="10">
        <v>2691</v>
      </c>
      <c r="P97" s="5"/>
      <c r="Q97" s="4" t="s">
        <v>353</v>
      </c>
      <c r="R97" s="4"/>
      <c r="S97" s="1">
        <f>IF(P97="",0,1)</f>
        <v>0</v>
      </c>
      <c r="T97" s="1">
        <f>IF(B97="126",1,0)</f>
        <v>0</v>
      </c>
    </row>
    <row r="98" spans="1:20" ht="21" customHeight="1" x14ac:dyDescent="0.25">
      <c r="A98" s="4" t="s">
        <v>207</v>
      </c>
      <c r="B98" s="4" t="s">
        <v>10</v>
      </c>
      <c r="C98" s="5" t="s">
        <v>5</v>
      </c>
      <c r="D98" s="5" t="s">
        <v>5</v>
      </c>
      <c r="E98" s="5" t="s">
        <v>14</v>
      </c>
      <c r="F98" s="5" t="s">
        <v>5</v>
      </c>
      <c r="G98" s="5" t="s">
        <v>14</v>
      </c>
      <c r="H98" s="5" t="s">
        <v>5</v>
      </c>
      <c r="I98" s="5" t="s">
        <v>5</v>
      </c>
      <c r="J98" s="5" t="s">
        <v>5</v>
      </c>
      <c r="K98" s="5" t="s">
        <v>576</v>
      </c>
      <c r="L98" s="5" t="s">
        <v>577</v>
      </c>
      <c r="M98" s="5" t="s">
        <v>578</v>
      </c>
      <c r="N98" s="10">
        <v>5</v>
      </c>
      <c r="O98" s="10">
        <v>1495</v>
      </c>
      <c r="P98" s="5"/>
      <c r="Q98" s="4" t="s">
        <v>353</v>
      </c>
      <c r="R98" s="4"/>
      <c r="S98" s="1">
        <f>IF(P98="",0,1)</f>
        <v>0</v>
      </c>
      <c r="T98" s="1">
        <f>IF(B98="126",1,0)</f>
        <v>0</v>
      </c>
    </row>
    <row r="99" spans="1:20" ht="21" customHeight="1" x14ac:dyDescent="0.25">
      <c r="A99" s="4" t="s">
        <v>909</v>
      </c>
      <c r="B99" s="4" t="s">
        <v>10</v>
      </c>
      <c r="C99" s="5" t="s">
        <v>5</v>
      </c>
      <c r="D99" s="5" t="s">
        <v>5</v>
      </c>
      <c r="E99" s="5" t="s">
        <v>14</v>
      </c>
      <c r="F99" s="5" t="s">
        <v>5</v>
      </c>
      <c r="G99" s="5" t="s">
        <v>14</v>
      </c>
      <c r="H99" s="5" t="s">
        <v>5</v>
      </c>
      <c r="I99" s="5" t="s">
        <v>5</v>
      </c>
      <c r="J99" s="5" t="s">
        <v>5</v>
      </c>
      <c r="K99" s="5" t="s">
        <v>371</v>
      </c>
      <c r="L99" s="5" t="s">
        <v>579</v>
      </c>
      <c r="M99" s="5" t="s">
        <v>580</v>
      </c>
      <c r="N99" s="10">
        <v>6</v>
      </c>
      <c r="O99" s="10">
        <v>1794</v>
      </c>
      <c r="P99" s="5"/>
      <c r="Q99" s="4" t="s">
        <v>353</v>
      </c>
      <c r="R99" s="4"/>
      <c r="S99" s="1">
        <f>IF(P99="",0,1)</f>
        <v>0</v>
      </c>
      <c r="T99" s="1">
        <f>IF(B99="126",1,0)</f>
        <v>0</v>
      </c>
    </row>
    <row r="100" spans="1:20" ht="21" customHeight="1" x14ac:dyDescent="0.25">
      <c r="A100" s="4" t="s">
        <v>209</v>
      </c>
      <c r="B100" s="4" t="s">
        <v>10</v>
      </c>
      <c r="C100" s="5" t="s">
        <v>5</v>
      </c>
      <c r="D100" s="5" t="s">
        <v>5</v>
      </c>
      <c r="E100" s="5" t="s">
        <v>14</v>
      </c>
      <c r="F100" s="5" t="s">
        <v>5</v>
      </c>
      <c r="G100" s="5" t="s">
        <v>14</v>
      </c>
      <c r="H100" s="5" t="s">
        <v>5</v>
      </c>
      <c r="I100" s="5" t="s">
        <v>5</v>
      </c>
      <c r="J100" s="5" t="s">
        <v>5</v>
      </c>
      <c r="K100" s="5" t="s">
        <v>372</v>
      </c>
      <c r="L100" s="5" t="s">
        <v>373</v>
      </c>
      <c r="M100" s="5" t="s">
        <v>288</v>
      </c>
      <c r="N100" s="10">
        <v>9</v>
      </c>
      <c r="O100" s="10">
        <v>2691</v>
      </c>
      <c r="P100" s="5"/>
      <c r="Q100" s="4" t="s">
        <v>353</v>
      </c>
      <c r="R100" s="4"/>
      <c r="S100" s="1">
        <f>IF(P100="",0,1)</f>
        <v>0</v>
      </c>
      <c r="T100" s="1">
        <f>IF(B100="126",1,0)</f>
        <v>0</v>
      </c>
    </row>
    <row r="101" spans="1:20" ht="21" customHeight="1" x14ac:dyDescent="0.25">
      <c r="A101" s="4" t="s">
        <v>910</v>
      </c>
      <c r="B101" s="4" t="s">
        <v>10</v>
      </c>
      <c r="C101" s="5" t="s">
        <v>5</v>
      </c>
      <c r="D101" s="5" t="s">
        <v>5</v>
      </c>
      <c r="E101" s="5" t="s">
        <v>14</v>
      </c>
      <c r="F101" s="5" t="s">
        <v>5</v>
      </c>
      <c r="G101" s="5" t="s">
        <v>14</v>
      </c>
      <c r="H101" s="5" t="s">
        <v>5</v>
      </c>
      <c r="I101" s="5" t="s">
        <v>5</v>
      </c>
      <c r="J101" s="5" t="s">
        <v>5</v>
      </c>
      <c r="K101" s="5" t="s">
        <v>374</v>
      </c>
      <c r="L101" s="5" t="s">
        <v>581</v>
      </c>
      <c r="M101" s="5" t="s">
        <v>582</v>
      </c>
      <c r="N101" s="10">
        <v>8</v>
      </c>
      <c r="O101" s="10">
        <v>2392</v>
      </c>
      <c r="P101" s="5"/>
      <c r="Q101" s="4" t="s">
        <v>353</v>
      </c>
      <c r="R101" s="4"/>
      <c r="S101" s="1">
        <f>IF(P101="",0,1)</f>
        <v>0</v>
      </c>
      <c r="T101" s="1">
        <f>IF(B101="126",1,0)</f>
        <v>0</v>
      </c>
    </row>
    <row r="102" spans="1:20" ht="21" customHeight="1" x14ac:dyDescent="0.25">
      <c r="A102" s="4" t="s">
        <v>911</v>
      </c>
      <c r="B102" s="4" t="s">
        <v>10</v>
      </c>
      <c r="C102" s="5" t="s">
        <v>5</v>
      </c>
      <c r="D102" s="5" t="s">
        <v>5</v>
      </c>
      <c r="E102" s="5" t="s">
        <v>14</v>
      </c>
      <c r="F102" s="5" t="s">
        <v>5</v>
      </c>
      <c r="G102" s="5" t="s">
        <v>14</v>
      </c>
      <c r="H102" s="5" t="s">
        <v>5</v>
      </c>
      <c r="I102" s="5" t="s">
        <v>5</v>
      </c>
      <c r="J102" s="5" t="s">
        <v>5</v>
      </c>
      <c r="K102" s="5" t="s">
        <v>375</v>
      </c>
      <c r="L102" s="5" t="s">
        <v>583</v>
      </c>
      <c r="M102" s="5" t="s">
        <v>584</v>
      </c>
      <c r="N102" s="10">
        <v>6</v>
      </c>
      <c r="O102" s="10">
        <v>1794</v>
      </c>
      <c r="P102" s="5"/>
      <c r="Q102" s="4" t="s">
        <v>353</v>
      </c>
      <c r="R102" s="4"/>
      <c r="S102" s="1">
        <f>IF(P102="",0,1)</f>
        <v>0</v>
      </c>
      <c r="T102" s="1">
        <f>IF(B102="126",1,0)</f>
        <v>0</v>
      </c>
    </row>
    <row r="103" spans="1:20" ht="21" customHeight="1" x14ac:dyDescent="0.25">
      <c r="A103" s="4" t="s">
        <v>912</v>
      </c>
      <c r="B103" s="4" t="s">
        <v>10</v>
      </c>
      <c r="C103" s="5" t="s">
        <v>5</v>
      </c>
      <c r="D103" s="5" t="s">
        <v>5</v>
      </c>
      <c r="E103" s="5" t="s">
        <v>14</v>
      </c>
      <c r="F103" s="5" t="s">
        <v>5</v>
      </c>
      <c r="G103" s="5" t="s">
        <v>14</v>
      </c>
      <c r="H103" s="5" t="s">
        <v>5</v>
      </c>
      <c r="I103" s="5" t="s">
        <v>5</v>
      </c>
      <c r="J103" s="5" t="s">
        <v>5</v>
      </c>
      <c r="K103" s="5" t="s">
        <v>585</v>
      </c>
      <c r="L103" s="5" t="s">
        <v>586</v>
      </c>
      <c r="M103" s="5" t="s">
        <v>587</v>
      </c>
      <c r="N103" s="10">
        <v>3</v>
      </c>
      <c r="O103" s="10">
        <v>897</v>
      </c>
      <c r="P103" s="5"/>
      <c r="Q103" s="4" t="s">
        <v>353</v>
      </c>
      <c r="R103" s="4"/>
      <c r="S103" s="1">
        <f>IF(P103="",0,1)</f>
        <v>0</v>
      </c>
      <c r="T103" s="1">
        <f>IF(B103="126",1,0)</f>
        <v>0</v>
      </c>
    </row>
    <row r="104" spans="1:20" ht="21" customHeight="1" x14ac:dyDescent="0.25">
      <c r="A104" s="4" t="s">
        <v>913</v>
      </c>
      <c r="B104" s="4" t="s">
        <v>10</v>
      </c>
      <c r="C104" s="5" t="s">
        <v>5</v>
      </c>
      <c r="D104" s="5" t="s">
        <v>5</v>
      </c>
      <c r="E104" s="5" t="s">
        <v>14</v>
      </c>
      <c r="F104" s="5" t="s">
        <v>5</v>
      </c>
      <c r="G104" s="5" t="s">
        <v>14</v>
      </c>
      <c r="H104" s="5" t="s">
        <v>5</v>
      </c>
      <c r="I104" s="5" t="s">
        <v>5</v>
      </c>
      <c r="J104" s="5" t="s">
        <v>5</v>
      </c>
      <c r="K104" s="5" t="s">
        <v>588</v>
      </c>
      <c r="L104" s="5" t="s">
        <v>589</v>
      </c>
      <c r="M104" s="5" t="s">
        <v>590</v>
      </c>
      <c r="N104" s="10">
        <v>3</v>
      </c>
      <c r="O104" s="10">
        <v>897</v>
      </c>
      <c r="P104" s="5"/>
      <c r="Q104" s="4" t="s">
        <v>353</v>
      </c>
      <c r="R104" s="4"/>
      <c r="S104" s="1">
        <f>IF(P104="",0,1)</f>
        <v>0</v>
      </c>
      <c r="T104" s="1">
        <f>IF(B104="126",1,0)</f>
        <v>0</v>
      </c>
    </row>
    <row r="105" spans="1:20" ht="21" customHeight="1" x14ac:dyDescent="0.25">
      <c r="A105" s="4" t="s">
        <v>914</v>
      </c>
      <c r="B105" s="4" t="s">
        <v>10</v>
      </c>
      <c r="C105" s="5" t="s">
        <v>5</v>
      </c>
      <c r="D105" s="5" t="s">
        <v>5</v>
      </c>
      <c r="E105" s="5" t="s">
        <v>14</v>
      </c>
      <c r="F105" s="5" t="s">
        <v>5</v>
      </c>
      <c r="G105" s="5" t="s">
        <v>14</v>
      </c>
      <c r="H105" s="5" t="s">
        <v>5</v>
      </c>
      <c r="I105" s="5" t="s">
        <v>5</v>
      </c>
      <c r="J105" s="5" t="s">
        <v>5</v>
      </c>
      <c r="K105" s="5" t="s">
        <v>376</v>
      </c>
      <c r="L105" s="5" t="s">
        <v>591</v>
      </c>
      <c r="M105" s="5" t="s">
        <v>592</v>
      </c>
      <c r="N105" s="10">
        <v>10</v>
      </c>
      <c r="O105" s="10">
        <v>2990</v>
      </c>
      <c r="P105" s="5"/>
      <c r="Q105" s="4" t="s">
        <v>353</v>
      </c>
      <c r="R105" s="4"/>
      <c r="S105" s="1">
        <f>IF(P105="",0,1)</f>
        <v>0</v>
      </c>
      <c r="T105" s="1">
        <f>IF(B105="126",1,0)</f>
        <v>0</v>
      </c>
    </row>
    <row r="106" spans="1:20" ht="21" customHeight="1" x14ac:dyDescent="0.25">
      <c r="A106" s="4" t="s">
        <v>915</v>
      </c>
      <c r="B106" s="4" t="s">
        <v>10</v>
      </c>
      <c r="C106" s="5" t="s">
        <v>5</v>
      </c>
      <c r="D106" s="5" t="s">
        <v>5</v>
      </c>
      <c r="E106" s="5" t="s">
        <v>14</v>
      </c>
      <c r="F106" s="5" t="s">
        <v>5</v>
      </c>
      <c r="G106" s="5" t="s">
        <v>14</v>
      </c>
      <c r="H106" s="5" t="s">
        <v>5</v>
      </c>
      <c r="I106" s="5" t="s">
        <v>5</v>
      </c>
      <c r="J106" s="5" t="s">
        <v>5</v>
      </c>
      <c r="K106" s="5" t="s">
        <v>593</v>
      </c>
      <c r="L106" s="5" t="s">
        <v>276</v>
      </c>
      <c r="M106" s="5" t="s">
        <v>594</v>
      </c>
      <c r="N106" s="10">
        <v>3</v>
      </c>
      <c r="O106" s="10">
        <v>897</v>
      </c>
      <c r="P106" s="5"/>
      <c r="Q106" s="4" t="s">
        <v>353</v>
      </c>
      <c r="R106" s="4"/>
      <c r="S106" s="1">
        <f>IF(P106="",0,1)</f>
        <v>0</v>
      </c>
      <c r="T106" s="1">
        <f>IF(B106="126",1,0)</f>
        <v>0</v>
      </c>
    </row>
    <row r="107" spans="1:20" ht="21" customHeight="1" x14ac:dyDescent="0.25">
      <c r="A107" s="4" t="s">
        <v>916</v>
      </c>
      <c r="B107" s="4" t="s">
        <v>10</v>
      </c>
      <c r="C107" s="5" t="s">
        <v>5</v>
      </c>
      <c r="D107" s="5" t="s">
        <v>5</v>
      </c>
      <c r="E107" s="5" t="s">
        <v>14</v>
      </c>
      <c r="F107" s="5" t="s">
        <v>5</v>
      </c>
      <c r="G107" s="5" t="s">
        <v>14</v>
      </c>
      <c r="H107" s="5" t="s">
        <v>5</v>
      </c>
      <c r="I107" s="5" t="s">
        <v>5</v>
      </c>
      <c r="J107" s="5" t="s">
        <v>5</v>
      </c>
      <c r="K107" s="5" t="s">
        <v>1041</v>
      </c>
      <c r="L107" s="5" t="s">
        <v>1042</v>
      </c>
      <c r="M107" s="5" t="s">
        <v>1043</v>
      </c>
      <c r="N107" s="10">
        <v>5</v>
      </c>
      <c r="O107" s="10">
        <v>1495</v>
      </c>
      <c r="P107" s="5"/>
      <c r="Q107" s="4" t="s">
        <v>353</v>
      </c>
      <c r="R107" s="4"/>
      <c r="S107" s="1">
        <f>IF(P107="",0,1)</f>
        <v>0</v>
      </c>
      <c r="T107" s="1">
        <f>IF(B107="126",1,0)</f>
        <v>0</v>
      </c>
    </row>
    <row r="108" spans="1:20" ht="21" customHeight="1" x14ac:dyDescent="0.25">
      <c r="A108" s="4" t="s">
        <v>917</v>
      </c>
      <c r="B108" s="4" t="s">
        <v>10</v>
      </c>
      <c r="C108" s="5" t="s">
        <v>5</v>
      </c>
      <c r="D108" s="5" t="s">
        <v>5</v>
      </c>
      <c r="E108" s="5" t="s">
        <v>14</v>
      </c>
      <c r="F108" s="5" t="s">
        <v>5</v>
      </c>
      <c r="G108" s="5" t="s">
        <v>14</v>
      </c>
      <c r="H108" s="5" t="s">
        <v>5</v>
      </c>
      <c r="I108" s="5" t="s">
        <v>5</v>
      </c>
      <c r="J108" s="5" t="s">
        <v>5</v>
      </c>
      <c r="K108" s="5" t="s">
        <v>377</v>
      </c>
      <c r="L108" s="5" t="s">
        <v>595</v>
      </c>
      <c r="M108" s="5" t="s">
        <v>596</v>
      </c>
      <c r="N108" s="10">
        <v>12</v>
      </c>
      <c r="O108" s="10">
        <v>3588</v>
      </c>
      <c r="P108" s="5"/>
      <c r="Q108" s="4" t="s">
        <v>353</v>
      </c>
      <c r="R108" s="4"/>
      <c r="S108" s="1">
        <f>IF(P108="",0,1)</f>
        <v>0</v>
      </c>
      <c r="T108" s="1">
        <f>IF(B108="126",1,0)</f>
        <v>0</v>
      </c>
    </row>
    <row r="109" spans="1:20" ht="21" customHeight="1" x14ac:dyDescent="0.25">
      <c r="A109" s="4" t="s">
        <v>918</v>
      </c>
      <c r="B109" s="4" t="s">
        <v>10</v>
      </c>
      <c r="C109" s="5" t="s">
        <v>5</v>
      </c>
      <c r="D109" s="5" t="s">
        <v>5</v>
      </c>
      <c r="E109" s="5" t="s">
        <v>14</v>
      </c>
      <c r="F109" s="5" t="s">
        <v>5</v>
      </c>
      <c r="G109" s="5" t="s">
        <v>14</v>
      </c>
      <c r="H109" s="5" t="s">
        <v>5</v>
      </c>
      <c r="I109" s="5" t="s">
        <v>5</v>
      </c>
      <c r="J109" s="5" t="s">
        <v>5</v>
      </c>
      <c r="K109" s="5" t="s">
        <v>597</v>
      </c>
      <c r="L109" s="5" t="s">
        <v>598</v>
      </c>
      <c r="M109" s="5" t="s">
        <v>599</v>
      </c>
      <c r="N109" s="10">
        <v>5</v>
      </c>
      <c r="O109" s="10">
        <v>1495</v>
      </c>
      <c r="P109" s="5"/>
      <c r="Q109" s="4" t="s">
        <v>353</v>
      </c>
      <c r="R109" s="4"/>
      <c r="S109" s="1">
        <f>IF(P109="",0,1)</f>
        <v>0</v>
      </c>
      <c r="T109" s="1">
        <f>IF(B109="126",1,0)</f>
        <v>0</v>
      </c>
    </row>
    <row r="110" spans="1:20" ht="21" customHeight="1" x14ac:dyDescent="0.25">
      <c r="A110" s="4" t="s">
        <v>919</v>
      </c>
      <c r="B110" s="4" t="s">
        <v>10</v>
      </c>
      <c r="C110" s="5" t="s">
        <v>5</v>
      </c>
      <c r="D110" s="5" t="s">
        <v>5</v>
      </c>
      <c r="E110" s="5" t="s">
        <v>14</v>
      </c>
      <c r="F110" s="5" t="s">
        <v>5</v>
      </c>
      <c r="G110" s="5" t="s">
        <v>14</v>
      </c>
      <c r="H110" s="5" t="s">
        <v>5</v>
      </c>
      <c r="I110" s="5" t="s">
        <v>5</v>
      </c>
      <c r="J110" s="5" t="s">
        <v>5</v>
      </c>
      <c r="K110" s="5" t="s">
        <v>378</v>
      </c>
      <c r="L110" s="5" t="s">
        <v>600</v>
      </c>
      <c r="M110" s="5" t="s">
        <v>601</v>
      </c>
      <c r="N110" s="10">
        <v>7</v>
      </c>
      <c r="O110" s="10">
        <v>2093</v>
      </c>
      <c r="P110" s="5"/>
      <c r="Q110" s="4" t="s">
        <v>353</v>
      </c>
      <c r="R110" s="4"/>
      <c r="S110" s="1">
        <f>IF(P110="",0,1)</f>
        <v>0</v>
      </c>
      <c r="T110" s="1">
        <f>IF(B110="126",1,0)</f>
        <v>0</v>
      </c>
    </row>
    <row r="111" spans="1:20" ht="21" customHeight="1" x14ac:dyDescent="0.25">
      <c r="A111" s="4" t="s">
        <v>920</v>
      </c>
      <c r="B111" s="4" t="s">
        <v>10</v>
      </c>
      <c r="C111" s="5" t="s">
        <v>5</v>
      </c>
      <c r="D111" s="5" t="s">
        <v>5</v>
      </c>
      <c r="E111" s="5" t="s">
        <v>14</v>
      </c>
      <c r="F111" s="5" t="s">
        <v>5</v>
      </c>
      <c r="G111" s="5" t="s">
        <v>14</v>
      </c>
      <c r="H111" s="5" t="s">
        <v>5</v>
      </c>
      <c r="I111" s="5" t="s">
        <v>5</v>
      </c>
      <c r="J111" s="5" t="s">
        <v>5</v>
      </c>
      <c r="K111" s="5" t="s">
        <v>427</v>
      </c>
      <c r="L111" s="5" t="s">
        <v>602</v>
      </c>
      <c r="M111" s="5" t="s">
        <v>603</v>
      </c>
      <c r="N111" s="10">
        <v>10</v>
      </c>
      <c r="O111" s="10">
        <v>2990</v>
      </c>
      <c r="P111" s="5"/>
      <c r="Q111" s="4" t="s">
        <v>353</v>
      </c>
      <c r="R111" s="4"/>
      <c r="S111" s="1">
        <f>IF(P111="",0,1)</f>
        <v>0</v>
      </c>
      <c r="T111" s="1">
        <f>IF(B111="126",1,0)</f>
        <v>0</v>
      </c>
    </row>
    <row r="112" spans="1:20" ht="21" customHeight="1" x14ac:dyDescent="0.25">
      <c r="A112" s="4" t="s">
        <v>921</v>
      </c>
      <c r="B112" s="4" t="s">
        <v>10</v>
      </c>
      <c r="C112" s="5" t="s">
        <v>5</v>
      </c>
      <c r="D112" s="5" t="s">
        <v>5</v>
      </c>
      <c r="E112" s="5" t="s">
        <v>14</v>
      </c>
      <c r="F112" s="5" t="s">
        <v>5</v>
      </c>
      <c r="G112" s="5" t="s">
        <v>14</v>
      </c>
      <c r="H112" s="5" t="s">
        <v>5</v>
      </c>
      <c r="I112" s="5" t="s">
        <v>5</v>
      </c>
      <c r="J112" s="5" t="s">
        <v>5</v>
      </c>
      <c r="K112" s="5" t="s">
        <v>379</v>
      </c>
      <c r="L112" s="5" t="s">
        <v>604</v>
      </c>
      <c r="M112" s="5" t="s">
        <v>510</v>
      </c>
      <c r="N112" s="10">
        <v>42</v>
      </c>
      <c r="O112" s="10">
        <v>12558</v>
      </c>
      <c r="P112" s="5"/>
      <c r="Q112" s="4" t="s">
        <v>353</v>
      </c>
      <c r="R112" s="4"/>
      <c r="S112" s="1">
        <f>IF(P112="",0,1)</f>
        <v>0</v>
      </c>
      <c r="T112" s="1">
        <f>IF(B112="126",1,0)</f>
        <v>0</v>
      </c>
    </row>
    <row r="113" spans="1:20" ht="21" customHeight="1" x14ac:dyDescent="0.25">
      <c r="A113" s="4" t="s">
        <v>922</v>
      </c>
      <c r="B113" s="4" t="s">
        <v>10</v>
      </c>
      <c r="C113" s="5" t="s">
        <v>5</v>
      </c>
      <c r="D113" s="5" t="s">
        <v>5</v>
      </c>
      <c r="E113" s="5" t="s">
        <v>14</v>
      </c>
      <c r="F113" s="5" t="s">
        <v>5</v>
      </c>
      <c r="G113" s="5" t="s">
        <v>14</v>
      </c>
      <c r="H113" s="5" t="s">
        <v>5</v>
      </c>
      <c r="I113" s="5" t="s">
        <v>5</v>
      </c>
      <c r="J113" s="5" t="s">
        <v>5</v>
      </c>
      <c r="K113" s="5" t="s">
        <v>380</v>
      </c>
      <c r="L113" s="5" t="s">
        <v>381</v>
      </c>
      <c r="M113" s="5" t="s">
        <v>605</v>
      </c>
      <c r="N113" s="10">
        <v>3</v>
      </c>
      <c r="O113" s="10">
        <v>897</v>
      </c>
      <c r="P113" s="5"/>
      <c r="Q113" s="4" t="s">
        <v>353</v>
      </c>
      <c r="R113" s="4"/>
      <c r="S113" s="1">
        <f>IF(P113="",0,1)</f>
        <v>0</v>
      </c>
      <c r="T113" s="1">
        <f>IF(B113="126",1,0)</f>
        <v>0</v>
      </c>
    </row>
    <row r="114" spans="1:20" ht="21" customHeight="1" x14ac:dyDescent="0.25">
      <c r="A114" s="4" t="s">
        <v>923</v>
      </c>
      <c r="B114" s="4" t="s">
        <v>10</v>
      </c>
      <c r="C114" s="5" t="s">
        <v>5</v>
      </c>
      <c r="D114" s="5" t="s">
        <v>5</v>
      </c>
      <c r="E114" s="5" t="s">
        <v>14</v>
      </c>
      <c r="F114" s="5" t="s">
        <v>5</v>
      </c>
      <c r="G114" s="5" t="s">
        <v>14</v>
      </c>
      <c r="H114" s="5" t="s">
        <v>5</v>
      </c>
      <c r="I114" s="5" t="s">
        <v>5</v>
      </c>
      <c r="J114" s="5" t="s">
        <v>5</v>
      </c>
      <c r="K114" s="5" t="s">
        <v>606</v>
      </c>
      <c r="L114" s="5" t="s">
        <v>607</v>
      </c>
      <c r="M114" s="5" t="s">
        <v>608</v>
      </c>
      <c r="N114" s="10">
        <v>3</v>
      </c>
      <c r="O114" s="10">
        <v>897</v>
      </c>
      <c r="P114" s="5"/>
      <c r="Q114" s="4" t="s">
        <v>353</v>
      </c>
      <c r="R114" s="4"/>
      <c r="S114" s="1">
        <f>IF(P114="",0,1)</f>
        <v>0</v>
      </c>
      <c r="T114" s="1">
        <f>IF(B114="126",1,0)</f>
        <v>0</v>
      </c>
    </row>
    <row r="115" spans="1:20" ht="21" customHeight="1" x14ac:dyDescent="0.25">
      <c r="A115" s="4" t="s">
        <v>924</v>
      </c>
      <c r="B115" s="4" t="s">
        <v>10</v>
      </c>
      <c r="C115" s="5" t="s">
        <v>5</v>
      </c>
      <c r="D115" s="5" t="s">
        <v>5</v>
      </c>
      <c r="E115" s="5" t="s">
        <v>14</v>
      </c>
      <c r="F115" s="5" t="s">
        <v>5</v>
      </c>
      <c r="G115" s="5" t="s">
        <v>14</v>
      </c>
      <c r="H115" s="5" t="s">
        <v>5</v>
      </c>
      <c r="I115" s="5" t="s">
        <v>5</v>
      </c>
      <c r="J115" s="5" t="s">
        <v>5</v>
      </c>
      <c r="K115" s="5" t="s">
        <v>609</v>
      </c>
      <c r="L115" s="5" t="s">
        <v>31</v>
      </c>
      <c r="M115" s="5" t="s">
        <v>610</v>
      </c>
      <c r="N115" s="10">
        <v>4</v>
      </c>
      <c r="O115" s="10">
        <v>1196</v>
      </c>
      <c r="P115" s="5"/>
      <c r="Q115" s="4" t="s">
        <v>353</v>
      </c>
      <c r="R115" s="4"/>
      <c r="S115" s="1">
        <f>IF(P115="",0,1)</f>
        <v>0</v>
      </c>
      <c r="T115" s="1">
        <f>IF(B115="126",1,0)</f>
        <v>0</v>
      </c>
    </row>
    <row r="116" spans="1:20" ht="21" customHeight="1" x14ac:dyDescent="0.25">
      <c r="A116" s="4" t="s">
        <v>435</v>
      </c>
      <c r="B116" s="4" t="s">
        <v>10</v>
      </c>
      <c r="C116" s="5" t="s">
        <v>5</v>
      </c>
      <c r="D116" s="5" t="s">
        <v>5</v>
      </c>
      <c r="E116" s="5" t="s">
        <v>14</v>
      </c>
      <c r="F116" s="5" t="s">
        <v>5</v>
      </c>
      <c r="G116" s="5" t="s">
        <v>14</v>
      </c>
      <c r="H116" s="5" t="s">
        <v>5</v>
      </c>
      <c r="I116" s="5" t="s">
        <v>5</v>
      </c>
      <c r="J116" s="5" t="s">
        <v>5</v>
      </c>
      <c r="K116" s="5" t="s">
        <v>611</v>
      </c>
      <c r="L116" s="5" t="s">
        <v>612</v>
      </c>
      <c r="M116" s="5" t="s">
        <v>613</v>
      </c>
      <c r="N116" s="10">
        <v>7</v>
      </c>
      <c r="O116" s="10">
        <v>2093</v>
      </c>
      <c r="P116" s="5"/>
      <c r="Q116" s="4" t="s">
        <v>353</v>
      </c>
      <c r="R116" s="4"/>
      <c r="S116" s="1">
        <f>IF(P116="",0,1)</f>
        <v>0</v>
      </c>
      <c r="T116" s="1">
        <f>IF(B116="126",1,0)</f>
        <v>0</v>
      </c>
    </row>
    <row r="117" spans="1:20" ht="21" customHeight="1" x14ac:dyDescent="0.25">
      <c r="A117" s="4" t="s">
        <v>269</v>
      </c>
      <c r="B117" s="4" t="s">
        <v>10</v>
      </c>
      <c r="C117" s="5" t="s">
        <v>5</v>
      </c>
      <c r="D117" s="5" t="s">
        <v>5</v>
      </c>
      <c r="E117" s="5" t="s">
        <v>14</v>
      </c>
      <c r="F117" s="5" t="s">
        <v>5</v>
      </c>
      <c r="G117" s="5" t="s">
        <v>14</v>
      </c>
      <c r="H117" s="5" t="s">
        <v>5</v>
      </c>
      <c r="I117" s="5" t="s">
        <v>5</v>
      </c>
      <c r="J117" s="5" t="s">
        <v>5</v>
      </c>
      <c r="K117" s="5" t="s">
        <v>614</v>
      </c>
      <c r="L117" s="5" t="s">
        <v>615</v>
      </c>
      <c r="M117" s="5" t="s">
        <v>616</v>
      </c>
      <c r="N117" s="10">
        <v>7</v>
      </c>
      <c r="O117" s="10">
        <v>2093</v>
      </c>
      <c r="P117" s="5"/>
      <c r="Q117" s="4" t="s">
        <v>353</v>
      </c>
      <c r="R117" s="4"/>
      <c r="S117" s="1">
        <f>IF(P117="",0,1)</f>
        <v>0</v>
      </c>
      <c r="T117" s="1">
        <f>IF(B117="126",1,0)</f>
        <v>0</v>
      </c>
    </row>
    <row r="118" spans="1:20" ht="21" customHeight="1" x14ac:dyDescent="0.25">
      <c r="A118" s="4" t="s">
        <v>925</v>
      </c>
      <c r="B118" s="4" t="s">
        <v>10</v>
      </c>
      <c r="C118" s="5" t="s">
        <v>5</v>
      </c>
      <c r="D118" s="5" t="s">
        <v>5</v>
      </c>
      <c r="E118" s="5" t="s">
        <v>14</v>
      </c>
      <c r="F118" s="5" t="s">
        <v>5</v>
      </c>
      <c r="G118" s="5" t="s">
        <v>14</v>
      </c>
      <c r="H118" s="5" t="s">
        <v>5</v>
      </c>
      <c r="I118" s="5" t="s">
        <v>5</v>
      </c>
      <c r="J118" s="5" t="s">
        <v>5</v>
      </c>
      <c r="K118" s="5" t="s">
        <v>617</v>
      </c>
      <c r="L118" s="5" t="s">
        <v>618</v>
      </c>
      <c r="M118" s="5" t="s">
        <v>619</v>
      </c>
      <c r="N118" s="10">
        <v>7</v>
      </c>
      <c r="O118" s="10">
        <v>2093</v>
      </c>
      <c r="P118" s="5"/>
      <c r="Q118" s="4" t="s">
        <v>353</v>
      </c>
      <c r="R118" s="4"/>
      <c r="S118" s="1">
        <f>IF(P118="",0,1)</f>
        <v>0</v>
      </c>
      <c r="T118" s="1">
        <f>IF(B118="126",1,0)</f>
        <v>0</v>
      </c>
    </row>
    <row r="119" spans="1:20" ht="21" customHeight="1" x14ac:dyDescent="0.25">
      <c r="A119" s="4" t="s">
        <v>926</v>
      </c>
      <c r="B119" s="4" t="s">
        <v>10</v>
      </c>
      <c r="C119" s="5" t="s">
        <v>5</v>
      </c>
      <c r="D119" s="5" t="s">
        <v>5</v>
      </c>
      <c r="E119" s="5" t="s">
        <v>14</v>
      </c>
      <c r="F119" s="5" t="s">
        <v>5</v>
      </c>
      <c r="G119" s="5" t="s">
        <v>14</v>
      </c>
      <c r="H119" s="5" t="s">
        <v>5</v>
      </c>
      <c r="I119" s="5" t="s">
        <v>5</v>
      </c>
      <c r="J119" s="5" t="s">
        <v>5</v>
      </c>
      <c r="K119" s="5" t="s">
        <v>620</v>
      </c>
      <c r="L119" s="5" t="s">
        <v>439</v>
      </c>
      <c r="M119" s="5" t="s">
        <v>621</v>
      </c>
      <c r="N119" s="10">
        <v>10</v>
      </c>
      <c r="O119" s="10">
        <v>2990</v>
      </c>
      <c r="P119" s="5"/>
      <c r="Q119" s="4" t="s">
        <v>353</v>
      </c>
      <c r="R119" s="4"/>
      <c r="S119" s="1">
        <f>IF(P119="",0,1)</f>
        <v>0</v>
      </c>
      <c r="T119" s="1">
        <f>IF(B119="126",1,0)</f>
        <v>0</v>
      </c>
    </row>
    <row r="120" spans="1:20" ht="21" customHeight="1" x14ac:dyDescent="0.25">
      <c r="A120" s="4" t="s">
        <v>927</v>
      </c>
      <c r="B120" s="4" t="s">
        <v>10</v>
      </c>
      <c r="C120" s="5" t="s">
        <v>5</v>
      </c>
      <c r="D120" s="5" t="s">
        <v>5</v>
      </c>
      <c r="E120" s="5" t="s">
        <v>14</v>
      </c>
      <c r="F120" s="5" t="s">
        <v>5</v>
      </c>
      <c r="G120" s="5" t="s">
        <v>14</v>
      </c>
      <c r="H120" s="5" t="s">
        <v>5</v>
      </c>
      <c r="I120" s="5" t="s">
        <v>5</v>
      </c>
      <c r="J120" s="5" t="s">
        <v>5</v>
      </c>
      <c r="K120" s="5" t="s">
        <v>622</v>
      </c>
      <c r="L120" s="5" t="s">
        <v>623</v>
      </c>
      <c r="M120" s="5" t="s">
        <v>624</v>
      </c>
      <c r="N120" s="10">
        <v>6</v>
      </c>
      <c r="O120" s="10">
        <v>1794</v>
      </c>
      <c r="P120" s="5"/>
      <c r="Q120" s="4" t="s">
        <v>353</v>
      </c>
      <c r="R120" s="4"/>
      <c r="S120" s="1">
        <f>IF(P120="",0,1)</f>
        <v>0</v>
      </c>
      <c r="T120" s="1">
        <f>IF(B120="126",1,0)</f>
        <v>0</v>
      </c>
    </row>
    <row r="121" spans="1:20" ht="21" customHeight="1" x14ac:dyDescent="0.25">
      <c r="A121" s="4" t="s">
        <v>928</v>
      </c>
      <c r="B121" s="4" t="s">
        <v>10</v>
      </c>
      <c r="C121" s="5" t="s">
        <v>5</v>
      </c>
      <c r="D121" s="5" t="s">
        <v>5</v>
      </c>
      <c r="E121" s="5" t="s">
        <v>14</v>
      </c>
      <c r="F121" s="5" t="s">
        <v>5</v>
      </c>
      <c r="G121" s="5" t="s">
        <v>14</v>
      </c>
      <c r="H121" s="5" t="s">
        <v>5</v>
      </c>
      <c r="I121" s="5" t="s">
        <v>5</v>
      </c>
      <c r="J121" s="5" t="s">
        <v>5</v>
      </c>
      <c r="K121" s="5" t="s">
        <v>625</v>
      </c>
      <c r="L121" s="5" t="s">
        <v>626</v>
      </c>
      <c r="M121" s="5" t="s">
        <v>627</v>
      </c>
      <c r="N121" s="10">
        <v>4</v>
      </c>
      <c r="O121" s="10">
        <v>1196</v>
      </c>
      <c r="P121" s="5"/>
      <c r="Q121" s="4" t="s">
        <v>353</v>
      </c>
      <c r="R121" s="4"/>
      <c r="S121" s="1">
        <f>IF(P121="",0,1)</f>
        <v>0</v>
      </c>
      <c r="T121" s="1">
        <f>IF(B121="126",1,0)</f>
        <v>0</v>
      </c>
    </row>
    <row r="122" spans="1:20" ht="21" customHeight="1" x14ac:dyDescent="0.25">
      <c r="A122" s="4" t="s">
        <v>929</v>
      </c>
      <c r="B122" s="4" t="s">
        <v>10</v>
      </c>
      <c r="C122" s="5" t="s">
        <v>5</v>
      </c>
      <c r="D122" s="5" t="s">
        <v>5</v>
      </c>
      <c r="E122" s="5" t="s">
        <v>14</v>
      </c>
      <c r="F122" s="5" t="s">
        <v>5</v>
      </c>
      <c r="G122" s="5" t="s">
        <v>14</v>
      </c>
      <c r="H122" s="5" t="s">
        <v>5</v>
      </c>
      <c r="I122" s="5" t="s">
        <v>5</v>
      </c>
      <c r="J122" s="5" t="s">
        <v>5</v>
      </c>
      <c r="K122" s="5" t="s">
        <v>628</v>
      </c>
      <c r="L122" s="5" t="s">
        <v>629</v>
      </c>
      <c r="M122" s="5" t="s">
        <v>630</v>
      </c>
      <c r="N122" s="10">
        <v>12</v>
      </c>
      <c r="O122" s="10">
        <v>3588</v>
      </c>
      <c r="P122" s="5"/>
      <c r="Q122" s="4" t="s">
        <v>353</v>
      </c>
      <c r="R122" s="4"/>
      <c r="S122" s="1">
        <f>IF(P122="",0,1)</f>
        <v>0</v>
      </c>
      <c r="T122" s="1">
        <f>IF(B122="126",1,0)</f>
        <v>0</v>
      </c>
    </row>
    <row r="123" spans="1:20" ht="21" customHeight="1" x14ac:dyDescent="0.25">
      <c r="A123" s="4" t="s">
        <v>930</v>
      </c>
      <c r="B123" s="4" t="s">
        <v>10</v>
      </c>
      <c r="C123" s="5" t="s">
        <v>5</v>
      </c>
      <c r="D123" s="5" t="s">
        <v>5</v>
      </c>
      <c r="E123" s="5" t="s">
        <v>14</v>
      </c>
      <c r="F123" s="5" t="s">
        <v>5</v>
      </c>
      <c r="G123" s="5" t="s">
        <v>14</v>
      </c>
      <c r="H123" s="5" t="s">
        <v>5</v>
      </c>
      <c r="I123" s="5" t="s">
        <v>5</v>
      </c>
      <c r="J123" s="5" t="s">
        <v>5</v>
      </c>
      <c r="K123" s="5" t="s">
        <v>631</v>
      </c>
      <c r="L123" s="5" t="s">
        <v>632</v>
      </c>
      <c r="M123" s="5" t="s">
        <v>277</v>
      </c>
      <c r="N123" s="10">
        <v>20</v>
      </c>
      <c r="O123" s="10">
        <v>5980</v>
      </c>
      <c r="P123" s="5"/>
      <c r="Q123" s="4" t="s">
        <v>353</v>
      </c>
      <c r="R123" s="4"/>
      <c r="S123" s="1">
        <f>IF(P123="",0,1)</f>
        <v>0</v>
      </c>
      <c r="T123" s="1">
        <f>IF(B123="126",1,0)</f>
        <v>0</v>
      </c>
    </row>
    <row r="124" spans="1:20" ht="21" customHeight="1" x14ac:dyDescent="0.25">
      <c r="A124" s="4" t="s">
        <v>433</v>
      </c>
      <c r="B124" s="4" t="s">
        <v>10</v>
      </c>
      <c r="C124" s="5" t="s">
        <v>5</v>
      </c>
      <c r="D124" s="5" t="s">
        <v>5</v>
      </c>
      <c r="E124" s="5" t="s">
        <v>14</v>
      </c>
      <c r="F124" s="5" t="s">
        <v>5</v>
      </c>
      <c r="G124" s="5" t="s">
        <v>14</v>
      </c>
      <c r="H124" s="5" t="s">
        <v>5</v>
      </c>
      <c r="I124" s="5" t="s">
        <v>5</v>
      </c>
      <c r="J124" s="5" t="s">
        <v>5</v>
      </c>
      <c r="K124" s="5" t="s">
        <v>633</v>
      </c>
      <c r="L124" s="5" t="s">
        <v>634</v>
      </c>
      <c r="M124" s="5" t="s">
        <v>635</v>
      </c>
      <c r="N124" s="10">
        <v>12</v>
      </c>
      <c r="O124" s="10">
        <v>3588</v>
      </c>
      <c r="P124" s="5"/>
      <c r="Q124" s="4" t="s">
        <v>353</v>
      </c>
      <c r="R124" s="4"/>
      <c r="S124" s="1">
        <f>IF(P124="",0,1)</f>
        <v>0</v>
      </c>
      <c r="T124" s="1">
        <f>IF(B124="126",1,0)</f>
        <v>0</v>
      </c>
    </row>
    <row r="125" spans="1:20" ht="21" customHeight="1" x14ac:dyDescent="0.25">
      <c r="A125" s="4" t="s">
        <v>931</v>
      </c>
      <c r="B125" s="4" t="s">
        <v>10</v>
      </c>
      <c r="C125" s="5" t="s">
        <v>5</v>
      </c>
      <c r="D125" s="5" t="s">
        <v>5</v>
      </c>
      <c r="E125" s="5" t="s">
        <v>14</v>
      </c>
      <c r="F125" s="5" t="s">
        <v>5</v>
      </c>
      <c r="G125" s="5" t="s">
        <v>14</v>
      </c>
      <c r="H125" s="5" t="s">
        <v>5</v>
      </c>
      <c r="I125" s="5" t="s">
        <v>5</v>
      </c>
      <c r="J125" s="5" t="s">
        <v>5</v>
      </c>
      <c r="K125" s="5" t="s">
        <v>636</v>
      </c>
      <c r="L125" s="5" t="s">
        <v>637</v>
      </c>
      <c r="M125" s="5" t="s">
        <v>244</v>
      </c>
      <c r="N125" s="10">
        <v>8</v>
      </c>
      <c r="O125" s="10">
        <v>2392</v>
      </c>
      <c r="P125" s="5"/>
      <c r="Q125" s="4" t="s">
        <v>353</v>
      </c>
      <c r="R125" s="4"/>
      <c r="S125" s="1">
        <f>IF(P125="",0,1)</f>
        <v>0</v>
      </c>
      <c r="T125" s="1">
        <f>IF(B125="126",1,0)</f>
        <v>0</v>
      </c>
    </row>
    <row r="126" spans="1:20" ht="21" customHeight="1" x14ac:dyDescent="0.25">
      <c r="A126" s="4" t="s">
        <v>932</v>
      </c>
      <c r="B126" s="4" t="s">
        <v>10</v>
      </c>
      <c r="C126" s="5" t="s">
        <v>5</v>
      </c>
      <c r="D126" s="5" t="s">
        <v>5</v>
      </c>
      <c r="E126" s="5" t="s">
        <v>14</v>
      </c>
      <c r="F126" s="5" t="s">
        <v>5</v>
      </c>
      <c r="G126" s="5" t="s">
        <v>14</v>
      </c>
      <c r="H126" s="5" t="s">
        <v>5</v>
      </c>
      <c r="I126" s="5" t="s">
        <v>5</v>
      </c>
      <c r="J126" s="5" t="s">
        <v>5</v>
      </c>
      <c r="K126" s="5" t="s">
        <v>638</v>
      </c>
      <c r="L126" s="5" t="s">
        <v>639</v>
      </c>
      <c r="M126" s="5" t="s">
        <v>441</v>
      </c>
      <c r="N126" s="10">
        <v>8</v>
      </c>
      <c r="O126" s="10">
        <v>2392</v>
      </c>
      <c r="P126" s="5"/>
      <c r="Q126" s="4" t="s">
        <v>353</v>
      </c>
      <c r="R126" s="4"/>
      <c r="S126" s="1">
        <f>IF(P126="",0,1)</f>
        <v>0</v>
      </c>
      <c r="T126" s="1">
        <f>IF(B126="126",1,0)</f>
        <v>0</v>
      </c>
    </row>
    <row r="127" spans="1:20" ht="21" customHeight="1" x14ac:dyDescent="0.25">
      <c r="A127" s="4" t="s">
        <v>933</v>
      </c>
      <c r="B127" s="4" t="s">
        <v>10</v>
      </c>
      <c r="C127" s="5" t="s">
        <v>5</v>
      </c>
      <c r="D127" s="5" t="s">
        <v>5</v>
      </c>
      <c r="E127" s="5" t="s">
        <v>14</v>
      </c>
      <c r="F127" s="5" t="s">
        <v>5</v>
      </c>
      <c r="G127" s="5" t="s">
        <v>14</v>
      </c>
      <c r="H127" s="5" t="s">
        <v>5</v>
      </c>
      <c r="I127" s="5" t="s">
        <v>5</v>
      </c>
      <c r="J127" s="5" t="s">
        <v>5</v>
      </c>
      <c r="K127" s="5" t="s">
        <v>640</v>
      </c>
      <c r="L127" s="5" t="s">
        <v>641</v>
      </c>
      <c r="M127" s="5" t="s">
        <v>279</v>
      </c>
      <c r="N127" s="10">
        <v>8</v>
      </c>
      <c r="O127" s="10">
        <v>2392</v>
      </c>
      <c r="P127" s="5"/>
      <c r="Q127" s="4" t="s">
        <v>353</v>
      </c>
      <c r="R127" s="4"/>
      <c r="S127" s="1">
        <f>IF(P127="",0,1)</f>
        <v>0</v>
      </c>
      <c r="T127" s="1">
        <f>IF(B127="126",1,0)</f>
        <v>0</v>
      </c>
    </row>
    <row r="128" spans="1:20" ht="21" customHeight="1" x14ac:dyDescent="0.25">
      <c r="A128" s="4" t="s">
        <v>934</v>
      </c>
      <c r="B128" s="4" t="s">
        <v>10</v>
      </c>
      <c r="C128" s="5" t="s">
        <v>5</v>
      </c>
      <c r="D128" s="5" t="s">
        <v>5</v>
      </c>
      <c r="E128" s="5" t="s">
        <v>14</v>
      </c>
      <c r="F128" s="5" t="s">
        <v>5</v>
      </c>
      <c r="G128" s="5" t="s">
        <v>14</v>
      </c>
      <c r="H128" s="5" t="s">
        <v>5</v>
      </c>
      <c r="I128" s="5" t="s">
        <v>5</v>
      </c>
      <c r="J128" s="5" t="s">
        <v>5</v>
      </c>
      <c r="K128" s="5" t="s">
        <v>642</v>
      </c>
      <c r="L128" s="5" t="s">
        <v>643</v>
      </c>
      <c r="M128" s="5" t="s">
        <v>644</v>
      </c>
      <c r="N128" s="10">
        <v>5</v>
      </c>
      <c r="O128" s="10">
        <v>1495</v>
      </c>
      <c r="P128" s="5"/>
      <c r="Q128" s="4" t="s">
        <v>353</v>
      </c>
      <c r="R128" s="4"/>
      <c r="S128" s="1">
        <f>IF(P128="",0,1)</f>
        <v>0</v>
      </c>
      <c r="T128" s="1">
        <f>IF(B128="126",1,0)</f>
        <v>0</v>
      </c>
    </row>
    <row r="129" spans="1:20" ht="21" customHeight="1" x14ac:dyDescent="0.25">
      <c r="A129" s="4" t="s">
        <v>287</v>
      </c>
      <c r="B129" s="4" t="s">
        <v>10</v>
      </c>
      <c r="C129" s="5" t="s">
        <v>5</v>
      </c>
      <c r="D129" s="5" t="s">
        <v>5</v>
      </c>
      <c r="E129" s="5" t="s">
        <v>14</v>
      </c>
      <c r="F129" s="5" t="s">
        <v>5</v>
      </c>
      <c r="G129" s="5" t="s">
        <v>14</v>
      </c>
      <c r="H129" s="5" t="s">
        <v>5</v>
      </c>
      <c r="I129" s="5" t="s">
        <v>5</v>
      </c>
      <c r="J129" s="5" t="s">
        <v>5</v>
      </c>
      <c r="K129" s="5" t="s">
        <v>645</v>
      </c>
      <c r="L129" s="5" t="s">
        <v>646</v>
      </c>
      <c r="M129" s="5" t="s">
        <v>273</v>
      </c>
      <c r="N129" s="10">
        <v>6</v>
      </c>
      <c r="O129" s="10">
        <v>1794</v>
      </c>
      <c r="P129" s="5"/>
      <c r="Q129" s="4" t="s">
        <v>353</v>
      </c>
      <c r="R129" s="4"/>
      <c r="S129" s="1">
        <f>IF(P129="",0,1)</f>
        <v>0</v>
      </c>
      <c r="T129" s="1">
        <f>IF(B129="126",1,0)</f>
        <v>0</v>
      </c>
    </row>
    <row r="130" spans="1:20" ht="21" customHeight="1" x14ac:dyDescent="0.25">
      <c r="A130" s="4" t="s">
        <v>270</v>
      </c>
      <c r="B130" s="4" t="s">
        <v>10</v>
      </c>
      <c r="C130" s="5" t="s">
        <v>5</v>
      </c>
      <c r="D130" s="5" t="s">
        <v>5</v>
      </c>
      <c r="E130" s="5" t="s">
        <v>14</v>
      </c>
      <c r="F130" s="5" t="s">
        <v>5</v>
      </c>
      <c r="G130" s="5" t="s">
        <v>14</v>
      </c>
      <c r="H130" s="5" t="s">
        <v>5</v>
      </c>
      <c r="I130" s="5" t="s">
        <v>5</v>
      </c>
      <c r="J130" s="5" t="s">
        <v>5</v>
      </c>
      <c r="K130" s="5" t="s">
        <v>647</v>
      </c>
      <c r="L130" s="5" t="s">
        <v>648</v>
      </c>
      <c r="M130" s="5" t="s">
        <v>649</v>
      </c>
      <c r="N130" s="10">
        <v>4</v>
      </c>
      <c r="O130" s="10">
        <v>1196</v>
      </c>
      <c r="P130" s="5"/>
      <c r="Q130" s="4" t="s">
        <v>353</v>
      </c>
      <c r="R130" s="4"/>
      <c r="S130" s="1">
        <f>IF(P130="",0,1)</f>
        <v>0</v>
      </c>
      <c r="T130" s="1">
        <f>IF(B130="126",1,0)</f>
        <v>0</v>
      </c>
    </row>
    <row r="131" spans="1:20" ht="21" customHeight="1" x14ac:dyDescent="0.25">
      <c r="A131" s="4" t="s">
        <v>444</v>
      </c>
      <c r="B131" s="4" t="s">
        <v>10</v>
      </c>
      <c r="C131" s="5" t="s">
        <v>5</v>
      </c>
      <c r="D131" s="5" t="s">
        <v>5</v>
      </c>
      <c r="E131" s="5" t="s">
        <v>14</v>
      </c>
      <c r="F131" s="5" t="s">
        <v>5</v>
      </c>
      <c r="G131" s="5" t="s">
        <v>14</v>
      </c>
      <c r="H131" s="5" t="s">
        <v>5</v>
      </c>
      <c r="I131" s="5" t="s">
        <v>5</v>
      </c>
      <c r="J131" s="5" t="s">
        <v>5</v>
      </c>
      <c r="K131" s="5" t="s">
        <v>650</v>
      </c>
      <c r="L131" s="5" t="s">
        <v>283</v>
      </c>
      <c r="M131" s="5" t="s">
        <v>651</v>
      </c>
      <c r="N131" s="10">
        <v>12</v>
      </c>
      <c r="O131" s="10">
        <v>3588</v>
      </c>
      <c r="P131" s="5"/>
      <c r="Q131" s="4" t="s">
        <v>353</v>
      </c>
      <c r="R131" s="4"/>
      <c r="S131" s="1">
        <f>IF(P131="",0,1)</f>
        <v>0</v>
      </c>
      <c r="T131" s="1">
        <f>IF(B131="126",1,0)</f>
        <v>0</v>
      </c>
    </row>
    <row r="132" spans="1:20" ht="21" customHeight="1" x14ac:dyDescent="0.25">
      <c r="A132" s="4" t="s">
        <v>935</v>
      </c>
      <c r="B132" s="4" t="s">
        <v>10</v>
      </c>
      <c r="C132" s="5" t="s">
        <v>5</v>
      </c>
      <c r="D132" s="5" t="s">
        <v>5</v>
      </c>
      <c r="E132" s="5" t="s">
        <v>14</v>
      </c>
      <c r="F132" s="5" t="s">
        <v>5</v>
      </c>
      <c r="G132" s="5" t="s">
        <v>14</v>
      </c>
      <c r="H132" s="5" t="s">
        <v>5</v>
      </c>
      <c r="I132" s="5" t="s">
        <v>5</v>
      </c>
      <c r="J132" s="5" t="s">
        <v>5</v>
      </c>
      <c r="K132" s="5" t="s">
        <v>652</v>
      </c>
      <c r="L132" s="5" t="s">
        <v>653</v>
      </c>
      <c r="M132" s="5" t="s">
        <v>654</v>
      </c>
      <c r="N132" s="10">
        <v>6</v>
      </c>
      <c r="O132" s="10">
        <v>1794</v>
      </c>
      <c r="P132" s="5"/>
      <c r="Q132" s="4" t="s">
        <v>353</v>
      </c>
      <c r="R132" s="4"/>
      <c r="S132" s="1">
        <f>IF(P132="",0,1)</f>
        <v>0</v>
      </c>
      <c r="T132" s="1">
        <f>IF(B132="126",1,0)</f>
        <v>0</v>
      </c>
    </row>
    <row r="133" spans="1:20" ht="21" customHeight="1" x14ac:dyDescent="0.25">
      <c r="A133" s="4" t="s">
        <v>271</v>
      </c>
      <c r="B133" s="4" t="s">
        <v>10</v>
      </c>
      <c r="C133" s="5" t="s">
        <v>5</v>
      </c>
      <c r="D133" s="5" t="s">
        <v>5</v>
      </c>
      <c r="E133" s="5" t="s">
        <v>14</v>
      </c>
      <c r="F133" s="5" t="s">
        <v>5</v>
      </c>
      <c r="G133" s="5" t="s">
        <v>14</v>
      </c>
      <c r="H133" s="5" t="s">
        <v>5</v>
      </c>
      <c r="I133" s="5" t="s">
        <v>5</v>
      </c>
      <c r="J133" s="5" t="s">
        <v>5</v>
      </c>
      <c r="K133" s="5" t="s">
        <v>655</v>
      </c>
      <c r="L133" s="5" t="s">
        <v>656</v>
      </c>
      <c r="M133" s="5" t="s">
        <v>657</v>
      </c>
      <c r="N133" s="10">
        <v>6</v>
      </c>
      <c r="O133" s="10">
        <v>1794</v>
      </c>
      <c r="P133" s="5"/>
      <c r="Q133" s="4" t="s">
        <v>353</v>
      </c>
      <c r="R133" s="4"/>
      <c r="S133" s="1">
        <f>IF(P133="",0,1)</f>
        <v>0</v>
      </c>
      <c r="T133" s="1">
        <f>IF(B133="126",1,0)</f>
        <v>0</v>
      </c>
    </row>
    <row r="134" spans="1:20" ht="21" customHeight="1" x14ac:dyDescent="0.25">
      <c r="A134" s="4" t="s">
        <v>936</v>
      </c>
      <c r="B134" s="4" t="s">
        <v>10</v>
      </c>
      <c r="C134" s="5" t="s">
        <v>5</v>
      </c>
      <c r="D134" s="5" t="s">
        <v>5</v>
      </c>
      <c r="E134" s="5" t="s">
        <v>14</v>
      </c>
      <c r="F134" s="5" t="s">
        <v>5</v>
      </c>
      <c r="G134" s="5" t="s">
        <v>14</v>
      </c>
      <c r="H134" s="5" t="s">
        <v>5</v>
      </c>
      <c r="I134" s="5" t="s">
        <v>5</v>
      </c>
      <c r="J134" s="5" t="s">
        <v>5</v>
      </c>
      <c r="K134" s="5" t="s">
        <v>658</v>
      </c>
      <c r="L134" s="5" t="s">
        <v>659</v>
      </c>
      <c r="M134" s="5" t="s">
        <v>660</v>
      </c>
      <c r="N134" s="10">
        <v>4</v>
      </c>
      <c r="O134" s="10">
        <v>1196</v>
      </c>
      <c r="P134" s="5"/>
      <c r="Q134" s="4" t="s">
        <v>353</v>
      </c>
      <c r="R134" s="4"/>
      <c r="S134" s="1">
        <f>IF(P134="",0,1)</f>
        <v>0</v>
      </c>
      <c r="T134" s="1">
        <f>IF(B134="126",1,0)</f>
        <v>0</v>
      </c>
    </row>
    <row r="135" spans="1:20" ht="21" customHeight="1" x14ac:dyDescent="0.25">
      <c r="A135" s="4" t="s">
        <v>937</v>
      </c>
      <c r="B135" s="4" t="s">
        <v>10</v>
      </c>
      <c r="C135" s="5" t="s">
        <v>5</v>
      </c>
      <c r="D135" s="5" t="s">
        <v>5</v>
      </c>
      <c r="E135" s="5" t="s">
        <v>14</v>
      </c>
      <c r="F135" s="5" t="s">
        <v>5</v>
      </c>
      <c r="G135" s="5" t="s">
        <v>14</v>
      </c>
      <c r="H135" s="5" t="s">
        <v>5</v>
      </c>
      <c r="I135" s="5" t="s">
        <v>5</v>
      </c>
      <c r="J135" s="5" t="s">
        <v>5</v>
      </c>
      <c r="K135" s="5" t="s">
        <v>661</v>
      </c>
      <c r="L135" s="5" t="s">
        <v>662</v>
      </c>
      <c r="M135" s="5" t="s">
        <v>363</v>
      </c>
      <c r="N135" s="10">
        <v>31</v>
      </c>
      <c r="O135" s="10">
        <v>9269</v>
      </c>
      <c r="P135" s="5"/>
      <c r="Q135" s="4" t="s">
        <v>353</v>
      </c>
      <c r="R135" s="4"/>
      <c r="S135" s="1">
        <f>IF(P135="",0,1)</f>
        <v>0</v>
      </c>
      <c r="T135" s="1">
        <f>IF(B135="126",1,0)</f>
        <v>0</v>
      </c>
    </row>
    <row r="136" spans="1:20" ht="21" customHeight="1" x14ac:dyDescent="0.25">
      <c r="A136" s="4" t="s">
        <v>446</v>
      </c>
      <c r="B136" s="4" t="s">
        <v>10</v>
      </c>
      <c r="C136" s="5" t="s">
        <v>5</v>
      </c>
      <c r="D136" s="5" t="s">
        <v>5</v>
      </c>
      <c r="E136" s="5" t="s">
        <v>14</v>
      </c>
      <c r="F136" s="5" t="s">
        <v>5</v>
      </c>
      <c r="G136" s="5" t="s">
        <v>14</v>
      </c>
      <c r="H136" s="5" t="s">
        <v>5</v>
      </c>
      <c r="I136" s="5" t="s">
        <v>5</v>
      </c>
      <c r="J136" s="5" t="s">
        <v>5</v>
      </c>
      <c r="K136" s="5" t="s">
        <v>663</v>
      </c>
      <c r="L136" s="5" t="s">
        <v>664</v>
      </c>
      <c r="M136" s="5" t="s">
        <v>665</v>
      </c>
      <c r="N136" s="10">
        <v>29</v>
      </c>
      <c r="O136" s="10">
        <v>8671</v>
      </c>
      <c r="P136" s="5"/>
      <c r="Q136" s="4" t="s">
        <v>353</v>
      </c>
      <c r="R136" s="4"/>
      <c r="S136" s="1">
        <f>IF(P136="",0,1)</f>
        <v>0</v>
      </c>
      <c r="T136" s="1">
        <f>IF(B136="126",1,0)</f>
        <v>0</v>
      </c>
    </row>
    <row r="137" spans="1:20" ht="21" customHeight="1" x14ac:dyDescent="0.25">
      <c r="A137" s="4" t="s">
        <v>938</v>
      </c>
      <c r="B137" s="4" t="s">
        <v>10</v>
      </c>
      <c r="C137" s="5" t="s">
        <v>5</v>
      </c>
      <c r="D137" s="5" t="s">
        <v>5</v>
      </c>
      <c r="E137" s="5" t="s">
        <v>14</v>
      </c>
      <c r="F137" s="5" t="s">
        <v>5</v>
      </c>
      <c r="G137" s="5" t="s">
        <v>14</v>
      </c>
      <c r="H137" s="5" t="s">
        <v>5</v>
      </c>
      <c r="I137" s="5" t="s">
        <v>5</v>
      </c>
      <c r="J137" s="5" t="s">
        <v>5</v>
      </c>
      <c r="K137" s="5" t="s">
        <v>666</v>
      </c>
      <c r="L137" s="5" t="s">
        <v>667</v>
      </c>
      <c r="M137" s="5" t="s">
        <v>668</v>
      </c>
      <c r="N137" s="10">
        <v>29</v>
      </c>
      <c r="O137" s="10">
        <v>8671</v>
      </c>
      <c r="P137" s="5"/>
      <c r="Q137" s="4" t="s">
        <v>353</v>
      </c>
      <c r="R137" s="4"/>
      <c r="S137" s="1">
        <f>IF(P137="",0,1)</f>
        <v>0</v>
      </c>
      <c r="T137" s="1">
        <f>IF(B137="126",1,0)</f>
        <v>0</v>
      </c>
    </row>
    <row r="138" spans="1:20" ht="21" customHeight="1" x14ac:dyDescent="0.25">
      <c r="A138" s="4" t="s">
        <v>939</v>
      </c>
      <c r="B138" s="4" t="s">
        <v>10</v>
      </c>
      <c r="C138" s="5" t="s">
        <v>5</v>
      </c>
      <c r="D138" s="5" t="s">
        <v>5</v>
      </c>
      <c r="E138" s="5" t="s">
        <v>14</v>
      </c>
      <c r="F138" s="5" t="s">
        <v>5</v>
      </c>
      <c r="G138" s="5" t="s">
        <v>14</v>
      </c>
      <c r="H138" s="5" t="s">
        <v>5</v>
      </c>
      <c r="I138" s="5" t="s">
        <v>5</v>
      </c>
      <c r="J138" s="5" t="s">
        <v>5</v>
      </c>
      <c r="K138" s="5" t="s">
        <v>143</v>
      </c>
      <c r="L138" s="5" t="s">
        <v>669</v>
      </c>
      <c r="M138" s="5" t="s">
        <v>670</v>
      </c>
      <c r="N138" s="10">
        <v>17</v>
      </c>
      <c r="O138" s="10">
        <v>5083</v>
      </c>
      <c r="P138" s="5"/>
      <c r="Q138" s="4" t="s">
        <v>353</v>
      </c>
      <c r="R138" s="4"/>
      <c r="S138" s="1">
        <f>IF(P138="",0,1)</f>
        <v>0</v>
      </c>
      <c r="T138" s="1">
        <f>IF(B138="126",1,0)</f>
        <v>0</v>
      </c>
    </row>
    <row r="139" spans="1:20" ht="21" customHeight="1" x14ac:dyDescent="0.25">
      <c r="A139" s="4" t="s">
        <v>940</v>
      </c>
      <c r="B139" s="4" t="s">
        <v>10</v>
      </c>
      <c r="C139" s="5" t="s">
        <v>5</v>
      </c>
      <c r="D139" s="5" t="s">
        <v>5</v>
      </c>
      <c r="E139" s="5" t="s">
        <v>14</v>
      </c>
      <c r="F139" s="5" t="s">
        <v>5</v>
      </c>
      <c r="G139" s="5" t="s">
        <v>14</v>
      </c>
      <c r="H139" s="5" t="s">
        <v>5</v>
      </c>
      <c r="I139" s="5" t="s">
        <v>5</v>
      </c>
      <c r="J139" s="5" t="s">
        <v>5</v>
      </c>
      <c r="K139" s="5" t="s">
        <v>144</v>
      </c>
      <c r="L139" s="5" t="s">
        <v>671</v>
      </c>
      <c r="M139" s="5" t="s">
        <v>672</v>
      </c>
      <c r="N139" s="10">
        <v>5</v>
      </c>
      <c r="O139" s="10">
        <v>1495</v>
      </c>
      <c r="P139" s="5"/>
      <c r="Q139" s="4" t="s">
        <v>353</v>
      </c>
      <c r="R139" s="4"/>
      <c r="S139" s="1">
        <f>IF(P139="",0,1)</f>
        <v>0</v>
      </c>
      <c r="T139" s="1">
        <f>IF(B139="126",1,0)</f>
        <v>0</v>
      </c>
    </row>
    <row r="140" spans="1:20" ht="21" customHeight="1" x14ac:dyDescent="0.25">
      <c r="A140" s="4" t="s">
        <v>941</v>
      </c>
      <c r="B140" s="4" t="s">
        <v>10</v>
      </c>
      <c r="C140" s="5" t="s">
        <v>5</v>
      </c>
      <c r="D140" s="5" t="s">
        <v>5</v>
      </c>
      <c r="E140" s="5" t="s">
        <v>14</v>
      </c>
      <c r="F140" s="5" t="s">
        <v>5</v>
      </c>
      <c r="G140" s="5" t="s">
        <v>14</v>
      </c>
      <c r="H140" s="5" t="s">
        <v>5</v>
      </c>
      <c r="I140" s="5" t="s">
        <v>5</v>
      </c>
      <c r="J140" s="5" t="s">
        <v>5</v>
      </c>
      <c r="K140" s="5" t="s">
        <v>674</v>
      </c>
      <c r="L140" s="5" t="s">
        <v>675</v>
      </c>
      <c r="M140" s="5" t="s">
        <v>676</v>
      </c>
      <c r="N140" s="10">
        <v>3</v>
      </c>
      <c r="O140" s="10">
        <v>897</v>
      </c>
      <c r="P140" s="5"/>
      <c r="Q140" s="4" t="s">
        <v>353</v>
      </c>
      <c r="R140" s="4"/>
      <c r="S140" s="1">
        <f>IF(P140="",0,1)</f>
        <v>0</v>
      </c>
      <c r="T140" s="1">
        <f>IF(B140="126",1,0)</f>
        <v>0</v>
      </c>
    </row>
    <row r="141" spans="1:20" ht="21" customHeight="1" x14ac:dyDescent="0.25">
      <c r="A141" s="4" t="s">
        <v>942</v>
      </c>
      <c r="B141" s="4" t="s">
        <v>10</v>
      </c>
      <c r="C141" s="5" t="s">
        <v>5</v>
      </c>
      <c r="D141" s="5" t="s">
        <v>5</v>
      </c>
      <c r="E141" s="5" t="s">
        <v>14</v>
      </c>
      <c r="F141" s="5" t="s">
        <v>5</v>
      </c>
      <c r="G141" s="5" t="s">
        <v>14</v>
      </c>
      <c r="H141" s="5" t="s">
        <v>5</v>
      </c>
      <c r="I141" s="5" t="s">
        <v>5</v>
      </c>
      <c r="J141" s="5" t="s">
        <v>5</v>
      </c>
      <c r="K141" s="5" t="s">
        <v>145</v>
      </c>
      <c r="L141" s="5" t="s">
        <v>677</v>
      </c>
      <c r="M141" s="5" t="s">
        <v>678</v>
      </c>
      <c r="N141" s="10">
        <v>4</v>
      </c>
      <c r="O141" s="10">
        <v>1196</v>
      </c>
      <c r="P141" s="5"/>
      <c r="Q141" s="4" t="s">
        <v>353</v>
      </c>
      <c r="R141" s="4"/>
      <c r="S141" s="1">
        <f>IF(P141="",0,1)</f>
        <v>0</v>
      </c>
      <c r="T141" s="1">
        <f>IF(B141="126",1,0)</f>
        <v>0</v>
      </c>
    </row>
    <row r="142" spans="1:20" ht="21" customHeight="1" x14ac:dyDescent="0.25">
      <c r="A142" s="4" t="s">
        <v>943</v>
      </c>
      <c r="B142" s="4" t="s">
        <v>10</v>
      </c>
      <c r="C142" s="5" t="s">
        <v>5</v>
      </c>
      <c r="D142" s="5" t="s">
        <v>5</v>
      </c>
      <c r="E142" s="5" t="s">
        <v>14</v>
      </c>
      <c r="F142" s="5" t="s">
        <v>5</v>
      </c>
      <c r="G142" s="5" t="s">
        <v>14</v>
      </c>
      <c r="H142" s="5" t="s">
        <v>5</v>
      </c>
      <c r="I142" s="5" t="s">
        <v>5</v>
      </c>
      <c r="J142" s="5" t="s">
        <v>5</v>
      </c>
      <c r="K142" s="5" t="s">
        <v>146</v>
      </c>
      <c r="L142" s="5" t="s">
        <v>679</v>
      </c>
      <c r="M142" s="5" t="s">
        <v>440</v>
      </c>
      <c r="N142" s="10">
        <v>6</v>
      </c>
      <c r="O142" s="10">
        <v>1794</v>
      </c>
      <c r="P142" s="5"/>
      <c r="Q142" s="4" t="s">
        <v>353</v>
      </c>
      <c r="R142" s="4"/>
      <c r="S142" s="1">
        <f>IF(P142="",0,1)</f>
        <v>0</v>
      </c>
      <c r="T142" s="1">
        <f>IF(B142="126",1,0)</f>
        <v>0</v>
      </c>
    </row>
    <row r="143" spans="1:20" ht="21" customHeight="1" x14ac:dyDescent="0.25">
      <c r="A143" s="4" t="s">
        <v>944</v>
      </c>
      <c r="B143" s="4" t="s">
        <v>10</v>
      </c>
      <c r="C143" s="5" t="s">
        <v>5</v>
      </c>
      <c r="D143" s="5" t="s">
        <v>5</v>
      </c>
      <c r="E143" s="5" t="s">
        <v>14</v>
      </c>
      <c r="F143" s="5" t="s">
        <v>5</v>
      </c>
      <c r="G143" s="5" t="s">
        <v>14</v>
      </c>
      <c r="H143" s="5" t="s">
        <v>5</v>
      </c>
      <c r="I143" s="5" t="s">
        <v>5</v>
      </c>
      <c r="J143" s="5" t="s">
        <v>5</v>
      </c>
      <c r="K143" s="5" t="s">
        <v>147</v>
      </c>
      <c r="L143" s="5" t="s">
        <v>680</v>
      </c>
      <c r="M143" s="5" t="s">
        <v>286</v>
      </c>
      <c r="N143" s="10">
        <v>12</v>
      </c>
      <c r="O143" s="10">
        <v>3588</v>
      </c>
      <c r="P143" s="5"/>
      <c r="Q143" s="4" t="s">
        <v>353</v>
      </c>
      <c r="R143" s="4"/>
      <c r="S143" s="1">
        <f>IF(P143="",0,1)</f>
        <v>0</v>
      </c>
      <c r="T143" s="1">
        <f>IF(B143="126",1,0)</f>
        <v>0</v>
      </c>
    </row>
    <row r="144" spans="1:20" ht="21" customHeight="1" x14ac:dyDescent="0.25">
      <c r="A144" s="4" t="s">
        <v>945</v>
      </c>
      <c r="B144" s="4" t="s">
        <v>10</v>
      </c>
      <c r="C144" s="5" t="s">
        <v>5</v>
      </c>
      <c r="D144" s="5" t="s">
        <v>5</v>
      </c>
      <c r="E144" s="5" t="s">
        <v>14</v>
      </c>
      <c r="F144" s="5" t="s">
        <v>5</v>
      </c>
      <c r="G144" s="5" t="s">
        <v>14</v>
      </c>
      <c r="H144" s="5" t="s">
        <v>5</v>
      </c>
      <c r="I144" s="5" t="s">
        <v>5</v>
      </c>
      <c r="J144" s="5" t="s">
        <v>5</v>
      </c>
      <c r="K144" s="5" t="s">
        <v>148</v>
      </c>
      <c r="L144" s="5" t="s">
        <v>681</v>
      </c>
      <c r="M144" s="5" t="s">
        <v>682</v>
      </c>
      <c r="N144" s="10">
        <v>7</v>
      </c>
      <c r="O144" s="10">
        <v>2093</v>
      </c>
      <c r="P144" s="5"/>
      <c r="Q144" s="4" t="s">
        <v>353</v>
      </c>
      <c r="R144" s="4"/>
      <c r="S144" s="1">
        <f>IF(P144="",0,1)</f>
        <v>0</v>
      </c>
      <c r="T144" s="1">
        <f>IF(B144="126",1,0)</f>
        <v>0</v>
      </c>
    </row>
    <row r="145" spans="1:20" ht="21" customHeight="1" x14ac:dyDescent="0.25">
      <c r="A145" s="4" t="s">
        <v>946</v>
      </c>
      <c r="B145" s="4" t="s">
        <v>10</v>
      </c>
      <c r="C145" s="5" t="s">
        <v>5</v>
      </c>
      <c r="D145" s="5" t="s">
        <v>5</v>
      </c>
      <c r="E145" s="5" t="s">
        <v>14</v>
      </c>
      <c r="F145" s="5" t="s">
        <v>5</v>
      </c>
      <c r="G145" s="5" t="s">
        <v>14</v>
      </c>
      <c r="H145" s="5" t="s">
        <v>5</v>
      </c>
      <c r="I145" s="5" t="s">
        <v>5</v>
      </c>
      <c r="J145" s="5" t="s">
        <v>5</v>
      </c>
      <c r="K145" s="5" t="s">
        <v>683</v>
      </c>
      <c r="L145" s="5" t="s">
        <v>684</v>
      </c>
      <c r="M145" s="5" t="s">
        <v>685</v>
      </c>
      <c r="N145" s="10">
        <v>7</v>
      </c>
      <c r="O145" s="10">
        <v>2093</v>
      </c>
      <c r="P145" s="5"/>
      <c r="Q145" s="4" t="s">
        <v>353</v>
      </c>
      <c r="R145" s="4"/>
      <c r="S145" s="1">
        <f>IF(P145="",0,1)</f>
        <v>0</v>
      </c>
      <c r="T145" s="1">
        <f>IF(B145="126",1,0)</f>
        <v>0</v>
      </c>
    </row>
    <row r="146" spans="1:20" ht="21" customHeight="1" x14ac:dyDescent="0.25">
      <c r="A146" s="4" t="s">
        <v>947</v>
      </c>
      <c r="B146" s="4" t="s">
        <v>10</v>
      </c>
      <c r="C146" s="5" t="s">
        <v>5</v>
      </c>
      <c r="D146" s="5" t="s">
        <v>5</v>
      </c>
      <c r="E146" s="5" t="s">
        <v>14</v>
      </c>
      <c r="F146" s="5" t="s">
        <v>5</v>
      </c>
      <c r="G146" s="5" t="s">
        <v>14</v>
      </c>
      <c r="H146" s="5" t="s">
        <v>5</v>
      </c>
      <c r="I146" s="5" t="s">
        <v>5</v>
      </c>
      <c r="J146" s="5" t="s">
        <v>5</v>
      </c>
      <c r="K146" s="5" t="s">
        <v>686</v>
      </c>
      <c r="L146" s="5" t="s">
        <v>687</v>
      </c>
      <c r="M146" s="5" t="s">
        <v>688</v>
      </c>
      <c r="N146" s="10">
        <v>4</v>
      </c>
      <c r="O146" s="10">
        <v>1196</v>
      </c>
      <c r="P146" s="5"/>
      <c r="Q146" s="4" t="s">
        <v>353</v>
      </c>
      <c r="R146" s="4"/>
      <c r="S146" s="1">
        <f>IF(P146="",0,1)</f>
        <v>0</v>
      </c>
      <c r="T146" s="1">
        <f>IF(B146="126",1,0)</f>
        <v>0</v>
      </c>
    </row>
    <row r="147" spans="1:20" ht="21" customHeight="1" x14ac:dyDescent="0.25">
      <c r="A147" s="4" t="s">
        <v>948</v>
      </c>
      <c r="B147" s="4" t="s">
        <v>10</v>
      </c>
      <c r="C147" s="5" t="s">
        <v>5</v>
      </c>
      <c r="D147" s="5" t="s">
        <v>5</v>
      </c>
      <c r="E147" s="5" t="s">
        <v>14</v>
      </c>
      <c r="F147" s="5" t="s">
        <v>5</v>
      </c>
      <c r="G147" s="5" t="s">
        <v>14</v>
      </c>
      <c r="H147" s="5" t="s">
        <v>5</v>
      </c>
      <c r="I147" s="5" t="s">
        <v>5</v>
      </c>
      <c r="J147" s="5" t="s">
        <v>5</v>
      </c>
      <c r="K147" s="5" t="s">
        <v>150</v>
      </c>
      <c r="L147" s="5" t="s">
        <v>151</v>
      </c>
      <c r="M147" s="5" t="s">
        <v>382</v>
      </c>
      <c r="N147" s="10">
        <v>9</v>
      </c>
      <c r="O147" s="10">
        <v>2691</v>
      </c>
      <c r="P147" s="5"/>
      <c r="Q147" s="4" t="s">
        <v>353</v>
      </c>
      <c r="R147" s="4"/>
      <c r="S147" s="1">
        <f>IF(P147="",0,1)</f>
        <v>0</v>
      </c>
      <c r="T147" s="1">
        <f>IF(B147="126",1,0)</f>
        <v>0</v>
      </c>
    </row>
    <row r="148" spans="1:20" ht="21" customHeight="1" x14ac:dyDescent="0.25">
      <c r="A148" s="4" t="s">
        <v>949</v>
      </c>
      <c r="B148" s="4" t="s">
        <v>10</v>
      </c>
      <c r="C148" s="5" t="s">
        <v>5</v>
      </c>
      <c r="D148" s="5" t="s">
        <v>5</v>
      </c>
      <c r="E148" s="5" t="s">
        <v>14</v>
      </c>
      <c r="F148" s="5" t="s">
        <v>5</v>
      </c>
      <c r="G148" s="5" t="s">
        <v>14</v>
      </c>
      <c r="H148" s="5" t="s">
        <v>5</v>
      </c>
      <c r="I148" s="5" t="s">
        <v>5</v>
      </c>
      <c r="J148" s="5" t="s">
        <v>5</v>
      </c>
      <c r="K148" s="5" t="s">
        <v>152</v>
      </c>
      <c r="L148" s="5" t="s">
        <v>153</v>
      </c>
      <c r="M148" s="5" t="s">
        <v>689</v>
      </c>
      <c r="N148" s="10">
        <v>5</v>
      </c>
      <c r="O148" s="10">
        <v>1495</v>
      </c>
      <c r="P148" s="5"/>
      <c r="Q148" s="4" t="s">
        <v>353</v>
      </c>
      <c r="R148" s="4"/>
      <c r="S148" s="1">
        <f>IF(P148="",0,1)</f>
        <v>0</v>
      </c>
      <c r="T148" s="1">
        <f>IF(B148="126",1,0)</f>
        <v>0</v>
      </c>
    </row>
    <row r="149" spans="1:20" ht="21" customHeight="1" x14ac:dyDescent="0.25">
      <c r="A149" s="4" t="s">
        <v>835</v>
      </c>
      <c r="B149" s="4" t="s">
        <v>9</v>
      </c>
      <c r="C149" s="5" t="s">
        <v>12</v>
      </c>
      <c r="D149" s="5" t="s">
        <v>12</v>
      </c>
      <c r="E149" s="5" t="s">
        <v>13</v>
      </c>
      <c r="F149" s="5" t="s">
        <v>12</v>
      </c>
      <c r="G149" s="5" t="s">
        <v>15</v>
      </c>
      <c r="H149" s="5" t="s">
        <v>5</v>
      </c>
      <c r="I149" s="5" t="s">
        <v>5</v>
      </c>
      <c r="J149" s="5" t="s">
        <v>456</v>
      </c>
      <c r="K149" s="5" t="s">
        <v>294</v>
      </c>
      <c r="L149" s="5" t="s">
        <v>350</v>
      </c>
      <c r="M149" s="5" t="s">
        <v>317</v>
      </c>
      <c r="N149" s="10">
        <v>11</v>
      </c>
      <c r="O149" s="10">
        <v>3230</v>
      </c>
      <c r="P149" s="5"/>
      <c r="Q149" s="4" t="s">
        <v>353</v>
      </c>
      <c r="R149" s="4"/>
      <c r="S149" s="1">
        <f>IF(P149="",0,1)</f>
        <v>0</v>
      </c>
      <c r="T149" s="1">
        <f>IF(B149="126",1,0)</f>
        <v>0</v>
      </c>
    </row>
    <row r="150" spans="1:20" ht="21" customHeight="1" x14ac:dyDescent="0.25">
      <c r="A150" s="4" t="s">
        <v>836</v>
      </c>
      <c r="B150" s="4" t="s">
        <v>9</v>
      </c>
      <c r="C150" s="5" t="s">
        <v>12</v>
      </c>
      <c r="D150" s="5" t="s">
        <v>12</v>
      </c>
      <c r="E150" s="5" t="s">
        <v>13</v>
      </c>
      <c r="F150" s="5" t="s">
        <v>12</v>
      </c>
      <c r="G150" s="5" t="s">
        <v>15</v>
      </c>
      <c r="H150" s="5" t="s">
        <v>5</v>
      </c>
      <c r="I150" s="5" t="s">
        <v>5</v>
      </c>
      <c r="J150" s="5" t="s">
        <v>456</v>
      </c>
      <c r="K150" s="5" t="s">
        <v>457</v>
      </c>
      <c r="L150" s="5" t="s">
        <v>275</v>
      </c>
      <c r="M150" s="5" t="s">
        <v>458</v>
      </c>
      <c r="N150" s="10">
        <v>2</v>
      </c>
      <c r="O150" s="10">
        <v>582</v>
      </c>
      <c r="P150" s="5"/>
      <c r="Q150" s="4" t="s">
        <v>353</v>
      </c>
      <c r="R150" s="4"/>
      <c r="S150" s="1">
        <f>IF(P150="",0,1)</f>
        <v>0</v>
      </c>
      <c r="T150" s="1">
        <f>IF(B150="126",1,0)</f>
        <v>0</v>
      </c>
    </row>
    <row r="151" spans="1:20" ht="21" customHeight="1" x14ac:dyDescent="0.25">
      <c r="A151" s="4" t="s">
        <v>837</v>
      </c>
      <c r="B151" s="4" t="s">
        <v>9</v>
      </c>
      <c r="C151" s="5" t="s">
        <v>12</v>
      </c>
      <c r="D151" s="5" t="s">
        <v>12</v>
      </c>
      <c r="E151" s="5" t="s">
        <v>13</v>
      </c>
      <c r="F151" s="5" t="s">
        <v>12</v>
      </c>
      <c r="G151" s="5" t="s">
        <v>15</v>
      </c>
      <c r="H151" s="5" t="s">
        <v>5</v>
      </c>
      <c r="I151" s="5" t="s">
        <v>5</v>
      </c>
      <c r="J151" s="5" t="s">
        <v>456</v>
      </c>
      <c r="K151" s="5" t="s">
        <v>154</v>
      </c>
      <c r="L151" s="5" t="s">
        <v>155</v>
      </c>
      <c r="M151" s="5" t="s">
        <v>318</v>
      </c>
      <c r="N151" s="10">
        <v>20</v>
      </c>
      <c r="O151" s="10">
        <v>5860</v>
      </c>
      <c r="P151" s="5"/>
      <c r="Q151" s="4" t="s">
        <v>353</v>
      </c>
      <c r="R151" s="4"/>
      <c r="S151" s="1">
        <f>IF(P151="",0,1)</f>
        <v>0</v>
      </c>
      <c r="T151" s="1">
        <f>IF(B151="126",1,0)</f>
        <v>0</v>
      </c>
    </row>
    <row r="152" spans="1:20" ht="21" customHeight="1" x14ac:dyDescent="0.25">
      <c r="A152" s="4" t="s">
        <v>838</v>
      </c>
      <c r="B152" s="4" t="s">
        <v>9</v>
      </c>
      <c r="C152" s="5" t="s">
        <v>12</v>
      </c>
      <c r="D152" s="5" t="s">
        <v>12</v>
      </c>
      <c r="E152" s="5" t="s">
        <v>13</v>
      </c>
      <c r="F152" s="5" t="s">
        <v>12</v>
      </c>
      <c r="G152" s="5" t="s">
        <v>15</v>
      </c>
      <c r="H152" s="5" t="s">
        <v>5</v>
      </c>
      <c r="I152" s="5" t="s">
        <v>5</v>
      </c>
      <c r="J152" s="5" t="s">
        <v>456</v>
      </c>
      <c r="K152" s="5" t="s">
        <v>156</v>
      </c>
      <c r="L152" s="5" t="s">
        <v>157</v>
      </c>
      <c r="M152" s="5" t="s">
        <v>319</v>
      </c>
      <c r="N152" s="10">
        <v>6</v>
      </c>
      <c r="O152" s="10">
        <v>1737</v>
      </c>
      <c r="P152" s="5"/>
      <c r="Q152" s="4" t="s">
        <v>353</v>
      </c>
      <c r="R152" s="4"/>
      <c r="S152" s="1">
        <f>IF(P152="",0,1)</f>
        <v>0</v>
      </c>
      <c r="T152" s="1">
        <f>IF(B152="126",1,0)</f>
        <v>0</v>
      </c>
    </row>
    <row r="153" spans="1:20" ht="21" customHeight="1" x14ac:dyDescent="0.25">
      <c r="A153" s="4" t="s">
        <v>839</v>
      </c>
      <c r="B153" s="4" t="s">
        <v>9</v>
      </c>
      <c r="C153" s="5" t="s">
        <v>12</v>
      </c>
      <c r="D153" s="5" t="s">
        <v>12</v>
      </c>
      <c r="E153" s="5" t="s">
        <v>13</v>
      </c>
      <c r="F153" s="5" t="s">
        <v>12</v>
      </c>
      <c r="G153" s="5" t="s">
        <v>15</v>
      </c>
      <c r="H153" s="5" t="s">
        <v>5</v>
      </c>
      <c r="I153" s="5" t="s">
        <v>5</v>
      </c>
      <c r="J153" s="5" t="s">
        <v>456</v>
      </c>
      <c r="K153" s="5" t="s">
        <v>158</v>
      </c>
      <c r="L153" s="5" t="s">
        <v>459</v>
      </c>
      <c r="M153" s="5" t="s">
        <v>320</v>
      </c>
      <c r="N153" s="10">
        <v>7</v>
      </c>
      <c r="O153" s="10">
        <v>2035</v>
      </c>
      <c r="P153" s="5"/>
      <c r="Q153" s="4" t="s">
        <v>353</v>
      </c>
      <c r="R153" s="4"/>
      <c r="S153" s="1">
        <f>IF(P153="",0,1)</f>
        <v>0</v>
      </c>
      <c r="T153" s="1">
        <f>IF(B153="126",1,0)</f>
        <v>0</v>
      </c>
    </row>
    <row r="154" spans="1:20" ht="21" customHeight="1" x14ac:dyDescent="0.25">
      <c r="A154" s="4" t="s">
        <v>840</v>
      </c>
      <c r="B154" s="4" t="s">
        <v>9</v>
      </c>
      <c r="C154" s="5" t="s">
        <v>12</v>
      </c>
      <c r="D154" s="5" t="s">
        <v>12</v>
      </c>
      <c r="E154" s="5" t="s">
        <v>13</v>
      </c>
      <c r="F154" s="5" t="s">
        <v>12</v>
      </c>
      <c r="G154" s="5" t="s">
        <v>15</v>
      </c>
      <c r="H154" s="5" t="s">
        <v>5</v>
      </c>
      <c r="I154" s="5" t="s">
        <v>5</v>
      </c>
      <c r="J154" s="5" t="s">
        <v>456</v>
      </c>
      <c r="K154" s="5" t="s">
        <v>159</v>
      </c>
      <c r="L154" s="5" t="s">
        <v>160</v>
      </c>
      <c r="M154" s="5" t="s">
        <v>293</v>
      </c>
      <c r="N154" s="10">
        <v>9</v>
      </c>
      <c r="O154" s="10">
        <v>2630</v>
      </c>
      <c r="P154" s="5"/>
      <c r="Q154" s="4" t="s">
        <v>353</v>
      </c>
      <c r="R154" s="4"/>
      <c r="S154" s="1">
        <f>IF(P154="",0,1)</f>
        <v>0</v>
      </c>
      <c r="T154" s="1">
        <f>IF(B154="126",1,0)</f>
        <v>0</v>
      </c>
    </row>
    <row r="155" spans="1:20" ht="21" customHeight="1" x14ac:dyDescent="0.25">
      <c r="A155" s="4" t="s">
        <v>841</v>
      </c>
      <c r="B155" s="4" t="s">
        <v>9</v>
      </c>
      <c r="C155" s="5" t="s">
        <v>12</v>
      </c>
      <c r="D155" s="5" t="s">
        <v>12</v>
      </c>
      <c r="E155" s="5" t="s">
        <v>13</v>
      </c>
      <c r="F155" s="5" t="s">
        <v>12</v>
      </c>
      <c r="G155" s="5" t="s">
        <v>15</v>
      </c>
      <c r="H155" s="5" t="s">
        <v>5</v>
      </c>
      <c r="I155" s="5" t="s">
        <v>5</v>
      </c>
      <c r="J155" s="5" t="s">
        <v>456</v>
      </c>
      <c r="K155" s="5" t="s">
        <v>161</v>
      </c>
      <c r="L155" s="5" t="s">
        <v>162</v>
      </c>
      <c r="M155" s="5" t="s">
        <v>321</v>
      </c>
      <c r="N155" s="10">
        <v>7</v>
      </c>
      <c r="O155" s="10">
        <v>2081</v>
      </c>
      <c r="P155" s="5"/>
      <c r="Q155" s="4" t="s">
        <v>353</v>
      </c>
      <c r="R155" s="4"/>
      <c r="S155" s="1">
        <f>IF(P155="",0,1)</f>
        <v>0</v>
      </c>
      <c r="T155" s="1">
        <f>IF(B155="126",1,0)</f>
        <v>0</v>
      </c>
    </row>
    <row r="156" spans="1:20" ht="21" customHeight="1" x14ac:dyDescent="0.25">
      <c r="A156" s="4" t="s">
        <v>842</v>
      </c>
      <c r="B156" s="4" t="s">
        <v>9</v>
      </c>
      <c r="C156" s="5" t="s">
        <v>12</v>
      </c>
      <c r="D156" s="5" t="s">
        <v>12</v>
      </c>
      <c r="E156" s="5" t="s">
        <v>13</v>
      </c>
      <c r="F156" s="5" t="s">
        <v>12</v>
      </c>
      <c r="G156" s="5" t="s">
        <v>15</v>
      </c>
      <c r="H156" s="5" t="s">
        <v>5</v>
      </c>
      <c r="I156" s="5" t="s">
        <v>5</v>
      </c>
      <c r="J156" s="5" t="s">
        <v>456</v>
      </c>
      <c r="K156" s="5" t="s">
        <v>163</v>
      </c>
      <c r="L156" s="5" t="s">
        <v>164</v>
      </c>
      <c r="M156" s="5" t="s">
        <v>293</v>
      </c>
      <c r="N156" s="10">
        <v>25</v>
      </c>
      <c r="O156" s="10">
        <v>7205</v>
      </c>
      <c r="P156" s="5"/>
      <c r="Q156" s="4" t="s">
        <v>353</v>
      </c>
      <c r="R156" s="4"/>
      <c r="S156" s="1">
        <f>IF(P156="",0,1)</f>
        <v>0</v>
      </c>
      <c r="T156" s="1">
        <f>IF(B156="126",1,0)</f>
        <v>0</v>
      </c>
    </row>
    <row r="157" spans="1:20" ht="21" customHeight="1" x14ac:dyDescent="0.25">
      <c r="A157" s="4" t="s">
        <v>843</v>
      </c>
      <c r="B157" s="4" t="s">
        <v>9</v>
      </c>
      <c r="C157" s="5" t="s">
        <v>12</v>
      </c>
      <c r="D157" s="5" t="s">
        <v>12</v>
      </c>
      <c r="E157" s="5" t="s">
        <v>13</v>
      </c>
      <c r="F157" s="5" t="s">
        <v>12</v>
      </c>
      <c r="G157" s="5" t="s">
        <v>15</v>
      </c>
      <c r="H157" s="5" t="s">
        <v>5</v>
      </c>
      <c r="I157" s="5" t="s">
        <v>5</v>
      </c>
      <c r="J157" s="5" t="s">
        <v>456</v>
      </c>
      <c r="K157" s="5" t="s">
        <v>165</v>
      </c>
      <c r="L157" s="5" t="s">
        <v>166</v>
      </c>
      <c r="M157" s="5" t="s">
        <v>322</v>
      </c>
      <c r="N157" s="10">
        <v>4</v>
      </c>
      <c r="O157" s="10">
        <v>1137</v>
      </c>
      <c r="P157" s="5"/>
      <c r="Q157" s="4" t="s">
        <v>353</v>
      </c>
      <c r="R157" s="4"/>
      <c r="S157" s="1">
        <f>IF(P157="",0,1)</f>
        <v>0</v>
      </c>
      <c r="T157" s="1">
        <f>IF(B157="126",1,0)</f>
        <v>0</v>
      </c>
    </row>
    <row r="158" spans="1:20" ht="21" customHeight="1" x14ac:dyDescent="0.25">
      <c r="A158" s="4" t="s">
        <v>844</v>
      </c>
      <c r="B158" s="4" t="s">
        <v>9</v>
      </c>
      <c r="C158" s="5" t="s">
        <v>12</v>
      </c>
      <c r="D158" s="5" t="s">
        <v>12</v>
      </c>
      <c r="E158" s="5" t="s">
        <v>13</v>
      </c>
      <c r="F158" s="5" t="s">
        <v>12</v>
      </c>
      <c r="G158" s="5" t="s">
        <v>15</v>
      </c>
      <c r="H158" s="5" t="s">
        <v>5</v>
      </c>
      <c r="I158" s="5" t="s">
        <v>5</v>
      </c>
      <c r="J158" s="5" t="s">
        <v>456</v>
      </c>
      <c r="K158" s="5" t="s">
        <v>167</v>
      </c>
      <c r="L158" s="5" t="s">
        <v>168</v>
      </c>
      <c r="M158" s="5" t="s">
        <v>323</v>
      </c>
      <c r="N158" s="10">
        <v>16</v>
      </c>
      <c r="O158" s="10">
        <v>4776</v>
      </c>
      <c r="P158" s="5"/>
      <c r="Q158" s="4" t="s">
        <v>353</v>
      </c>
      <c r="R158" s="4"/>
      <c r="S158" s="1">
        <f>IF(P158="",0,1)</f>
        <v>0</v>
      </c>
      <c r="T158" s="1">
        <f>IF(B158="126",1,0)</f>
        <v>0</v>
      </c>
    </row>
    <row r="159" spans="1:20" ht="21" customHeight="1" x14ac:dyDescent="0.25">
      <c r="A159" s="4" t="s">
        <v>845</v>
      </c>
      <c r="B159" s="4" t="s">
        <v>9</v>
      </c>
      <c r="C159" s="5" t="s">
        <v>12</v>
      </c>
      <c r="D159" s="5" t="s">
        <v>12</v>
      </c>
      <c r="E159" s="5" t="s">
        <v>13</v>
      </c>
      <c r="F159" s="5" t="s">
        <v>12</v>
      </c>
      <c r="G159" s="5" t="s">
        <v>15</v>
      </c>
      <c r="H159" s="5" t="s">
        <v>5</v>
      </c>
      <c r="I159" s="5" t="s">
        <v>5</v>
      </c>
      <c r="J159" s="5" t="s">
        <v>456</v>
      </c>
      <c r="K159" s="5" t="s">
        <v>420</v>
      </c>
      <c r="L159" s="5" t="s">
        <v>460</v>
      </c>
      <c r="M159" s="5" t="s">
        <v>461</v>
      </c>
      <c r="N159" s="10">
        <v>5</v>
      </c>
      <c r="O159" s="10">
        <v>1430</v>
      </c>
      <c r="P159" s="5"/>
      <c r="Q159" s="4" t="s">
        <v>353</v>
      </c>
      <c r="R159" s="4"/>
      <c r="S159" s="1">
        <f>IF(P159="",0,1)</f>
        <v>0</v>
      </c>
      <c r="T159" s="1">
        <f>IF(B159="126",1,0)</f>
        <v>0</v>
      </c>
    </row>
    <row r="160" spans="1:20" ht="21" customHeight="1" x14ac:dyDescent="0.25">
      <c r="A160" s="4" t="s">
        <v>846</v>
      </c>
      <c r="B160" s="4" t="s">
        <v>9</v>
      </c>
      <c r="C160" s="5" t="s">
        <v>12</v>
      </c>
      <c r="D160" s="5" t="s">
        <v>12</v>
      </c>
      <c r="E160" s="5" t="s">
        <v>13</v>
      </c>
      <c r="F160" s="5" t="s">
        <v>12</v>
      </c>
      <c r="G160" s="5" t="s">
        <v>15</v>
      </c>
      <c r="H160" s="5" t="s">
        <v>5</v>
      </c>
      <c r="I160" s="5" t="s">
        <v>5</v>
      </c>
      <c r="J160" s="5" t="s">
        <v>456</v>
      </c>
      <c r="K160" s="5" t="s">
        <v>421</v>
      </c>
      <c r="L160" s="5" t="s">
        <v>422</v>
      </c>
      <c r="M160" s="5" t="s">
        <v>462</v>
      </c>
      <c r="N160" s="10">
        <v>12</v>
      </c>
      <c r="O160" s="10">
        <v>3596</v>
      </c>
      <c r="P160" s="5"/>
      <c r="Q160" s="4" t="s">
        <v>353</v>
      </c>
      <c r="R160" s="4"/>
      <c r="S160" s="1">
        <f>IF(P160="",0,1)</f>
        <v>0</v>
      </c>
      <c r="T160" s="1">
        <f>IF(B160="126",1,0)</f>
        <v>0</v>
      </c>
    </row>
    <row r="161" spans="1:20" ht="21" customHeight="1" x14ac:dyDescent="0.25">
      <c r="A161" s="4" t="s">
        <v>847</v>
      </c>
      <c r="B161" s="4" t="s">
        <v>9</v>
      </c>
      <c r="C161" s="5" t="s">
        <v>12</v>
      </c>
      <c r="D161" s="5" t="s">
        <v>12</v>
      </c>
      <c r="E161" s="5" t="s">
        <v>13</v>
      </c>
      <c r="F161" s="5" t="s">
        <v>12</v>
      </c>
      <c r="G161" s="5" t="s">
        <v>15</v>
      </c>
      <c r="H161" s="5" t="s">
        <v>5</v>
      </c>
      <c r="I161" s="5" t="s">
        <v>5</v>
      </c>
      <c r="J161" s="5" t="s">
        <v>456</v>
      </c>
      <c r="K161" s="5" t="s">
        <v>423</v>
      </c>
      <c r="L161" s="5" t="s">
        <v>463</v>
      </c>
      <c r="M161" s="5" t="s">
        <v>464</v>
      </c>
      <c r="N161" s="10">
        <v>4</v>
      </c>
      <c r="O161" s="10">
        <v>1130</v>
      </c>
      <c r="P161" s="5"/>
      <c r="Q161" s="4" t="s">
        <v>353</v>
      </c>
      <c r="R161" s="4"/>
      <c r="S161" s="1">
        <f>IF(P161="",0,1)</f>
        <v>0</v>
      </c>
      <c r="T161" s="1">
        <f>IF(B161="126",1,0)</f>
        <v>0</v>
      </c>
    </row>
    <row r="162" spans="1:20" ht="21" customHeight="1" x14ac:dyDescent="0.25">
      <c r="A162" s="4" t="s">
        <v>673</v>
      </c>
      <c r="B162" s="4" t="s">
        <v>9</v>
      </c>
      <c r="C162" s="5" t="s">
        <v>12</v>
      </c>
      <c r="D162" s="5" t="s">
        <v>12</v>
      </c>
      <c r="E162" s="5" t="s">
        <v>13</v>
      </c>
      <c r="F162" s="5" t="s">
        <v>12</v>
      </c>
      <c r="G162" s="5" t="s">
        <v>15</v>
      </c>
      <c r="H162" s="5" t="s">
        <v>5</v>
      </c>
      <c r="I162" s="5" t="s">
        <v>5</v>
      </c>
      <c r="J162" s="5" t="s">
        <v>456</v>
      </c>
      <c r="K162" s="5" t="s">
        <v>465</v>
      </c>
      <c r="L162" s="5" t="s">
        <v>466</v>
      </c>
      <c r="M162" s="5" t="s">
        <v>467</v>
      </c>
      <c r="N162" s="10">
        <v>3</v>
      </c>
      <c r="O162" s="10">
        <v>830</v>
      </c>
      <c r="P162" s="5"/>
      <c r="Q162" s="4" t="s">
        <v>353</v>
      </c>
      <c r="R162" s="4"/>
      <c r="S162" s="1">
        <f>IF(P162="",0,1)</f>
        <v>0</v>
      </c>
      <c r="T162" s="1">
        <f>IF(B162="126",1,0)</f>
        <v>0</v>
      </c>
    </row>
    <row r="163" spans="1:20" ht="21" customHeight="1" x14ac:dyDescent="0.25">
      <c r="A163" s="4" t="s">
        <v>848</v>
      </c>
      <c r="B163" s="4" t="s">
        <v>9</v>
      </c>
      <c r="C163" s="5" t="s">
        <v>12</v>
      </c>
      <c r="D163" s="5" t="s">
        <v>12</v>
      </c>
      <c r="E163" s="5" t="s">
        <v>13</v>
      </c>
      <c r="F163" s="5" t="s">
        <v>12</v>
      </c>
      <c r="G163" s="5" t="s">
        <v>15</v>
      </c>
      <c r="H163" s="5" t="s">
        <v>5</v>
      </c>
      <c r="I163" s="5" t="s">
        <v>5</v>
      </c>
      <c r="J163" s="5" t="s">
        <v>456</v>
      </c>
      <c r="K163" s="5" t="s">
        <v>169</v>
      </c>
      <c r="L163" s="5" t="s">
        <v>170</v>
      </c>
      <c r="M163" s="5" t="s">
        <v>324</v>
      </c>
      <c r="N163" s="10">
        <v>11</v>
      </c>
      <c r="O163" s="10">
        <v>3230</v>
      </c>
      <c r="P163" s="5"/>
      <c r="Q163" s="4" t="s">
        <v>353</v>
      </c>
      <c r="R163" s="4"/>
      <c r="S163" s="1">
        <f>IF(P163="",0,1)</f>
        <v>0</v>
      </c>
      <c r="T163" s="1">
        <f>IF(B163="126",1,0)</f>
        <v>0</v>
      </c>
    </row>
    <row r="164" spans="1:20" ht="21" customHeight="1" x14ac:dyDescent="0.25">
      <c r="A164" s="4" t="s">
        <v>849</v>
      </c>
      <c r="B164" s="4" t="s">
        <v>9</v>
      </c>
      <c r="C164" s="5" t="s">
        <v>12</v>
      </c>
      <c r="D164" s="5" t="s">
        <v>12</v>
      </c>
      <c r="E164" s="5" t="s">
        <v>13</v>
      </c>
      <c r="F164" s="5" t="s">
        <v>12</v>
      </c>
      <c r="G164" s="5" t="s">
        <v>15</v>
      </c>
      <c r="H164" s="5" t="s">
        <v>5</v>
      </c>
      <c r="I164" s="5" t="s">
        <v>5</v>
      </c>
      <c r="J164" s="5" t="s">
        <v>456</v>
      </c>
      <c r="K164" s="5" t="s">
        <v>424</v>
      </c>
      <c r="L164" s="5" t="s">
        <v>468</v>
      </c>
      <c r="M164" s="5" t="s">
        <v>425</v>
      </c>
      <c r="N164" s="10">
        <v>5</v>
      </c>
      <c r="O164" s="10">
        <v>1455</v>
      </c>
      <c r="P164" s="5"/>
      <c r="Q164" s="4" t="s">
        <v>353</v>
      </c>
      <c r="R164" s="4"/>
      <c r="S164" s="1">
        <f>IF(P164="",0,1)</f>
        <v>0</v>
      </c>
      <c r="T164" s="1">
        <f>IF(B164="126",1,0)</f>
        <v>0</v>
      </c>
    </row>
    <row r="165" spans="1:20" ht="21" customHeight="1" x14ac:dyDescent="0.25">
      <c r="A165" s="4" t="s">
        <v>850</v>
      </c>
      <c r="B165" s="4" t="s">
        <v>9</v>
      </c>
      <c r="C165" s="5" t="s">
        <v>12</v>
      </c>
      <c r="D165" s="5" t="s">
        <v>12</v>
      </c>
      <c r="E165" s="5" t="s">
        <v>13</v>
      </c>
      <c r="F165" s="5" t="s">
        <v>12</v>
      </c>
      <c r="G165" s="5" t="s">
        <v>16</v>
      </c>
      <c r="H165" s="5" t="s">
        <v>5</v>
      </c>
      <c r="I165" s="5" t="s">
        <v>5</v>
      </c>
      <c r="J165" s="5" t="s">
        <v>17</v>
      </c>
      <c r="K165" s="5" t="s">
        <v>171</v>
      </c>
      <c r="L165" s="5" t="s">
        <v>172</v>
      </c>
      <c r="M165" s="5" t="s">
        <v>469</v>
      </c>
      <c r="N165" s="10">
        <v>46</v>
      </c>
      <c r="O165" s="10">
        <v>13635</v>
      </c>
      <c r="P165" s="5"/>
      <c r="Q165" s="4" t="s">
        <v>353</v>
      </c>
      <c r="R165" s="4"/>
      <c r="S165" s="1">
        <f>IF(P165="",0,1)</f>
        <v>0</v>
      </c>
      <c r="T165" s="1">
        <f>IF(B165="126",1,0)</f>
        <v>0</v>
      </c>
    </row>
    <row r="166" spans="1:20" ht="21" customHeight="1" x14ac:dyDescent="0.25">
      <c r="A166" s="4" t="s">
        <v>851</v>
      </c>
      <c r="B166" s="4" t="s">
        <v>9</v>
      </c>
      <c r="C166" s="5" t="s">
        <v>12</v>
      </c>
      <c r="D166" s="5" t="s">
        <v>12</v>
      </c>
      <c r="E166" s="5" t="s">
        <v>13</v>
      </c>
      <c r="F166" s="5" t="s">
        <v>12</v>
      </c>
      <c r="G166" s="5" t="s">
        <v>16</v>
      </c>
      <c r="H166" s="5" t="s">
        <v>5</v>
      </c>
      <c r="I166" s="5" t="s">
        <v>5</v>
      </c>
      <c r="J166" s="5" t="s">
        <v>17</v>
      </c>
      <c r="K166" s="5" t="s">
        <v>295</v>
      </c>
      <c r="L166" s="5" t="s">
        <v>470</v>
      </c>
      <c r="M166" s="5" t="s">
        <v>325</v>
      </c>
      <c r="N166" s="10">
        <v>12</v>
      </c>
      <c r="O166" s="10">
        <v>3460</v>
      </c>
      <c r="P166" s="5"/>
      <c r="Q166" s="4" t="s">
        <v>353</v>
      </c>
      <c r="R166" s="4"/>
      <c r="S166" s="1">
        <f>IF(P166="",0,1)</f>
        <v>0</v>
      </c>
      <c r="T166" s="1">
        <f>IF(B166="126",1,0)</f>
        <v>0</v>
      </c>
    </row>
    <row r="167" spans="1:20" ht="21" customHeight="1" x14ac:dyDescent="0.25">
      <c r="A167" s="4" t="s">
        <v>852</v>
      </c>
      <c r="B167" s="4" t="s">
        <v>9</v>
      </c>
      <c r="C167" s="5" t="s">
        <v>12</v>
      </c>
      <c r="D167" s="5" t="s">
        <v>12</v>
      </c>
      <c r="E167" s="5" t="s">
        <v>13</v>
      </c>
      <c r="F167" s="5" t="s">
        <v>12</v>
      </c>
      <c r="G167" s="5" t="s">
        <v>16</v>
      </c>
      <c r="H167" s="5" t="s">
        <v>5</v>
      </c>
      <c r="I167" s="5" t="s">
        <v>5</v>
      </c>
      <c r="J167" s="5" t="s">
        <v>17</v>
      </c>
      <c r="K167" s="5" t="s">
        <v>296</v>
      </c>
      <c r="L167" s="5" t="s">
        <v>471</v>
      </c>
      <c r="M167" s="5" t="s">
        <v>301</v>
      </c>
      <c r="N167" s="10">
        <v>23</v>
      </c>
      <c r="O167" s="10">
        <v>6760</v>
      </c>
      <c r="P167" s="5"/>
      <c r="Q167" s="4" t="s">
        <v>353</v>
      </c>
      <c r="R167" s="4"/>
      <c r="S167" s="1">
        <f>IF(P167="",0,1)</f>
        <v>0</v>
      </c>
      <c r="T167" s="1">
        <f>IF(B167="126",1,0)</f>
        <v>0</v>
      </c>
    </row>
    <row r="168" spans="1:20" ht="21" customHeight="1" x14ac:dyDescent="0.25">
      <c r="A168" s="4" t="s">
        <v>853</v>
      </c>
      <c r="B168" s="4" t="s">
        <v>9</v>
      </c>
      <c r="C168" s="5" t="s">
        <v>12</v>
      </c>
      <c r="D168" s="5" t="s">
        <v>12</v>
      </c>
      <c r="E168" s="5" t="s">
        <v>13</v>
      </c>
      <c r="F168" s="5" t="s">
        <v>12</v>
      </c>
      <c r="G168" s="5" t="s">
        <v>16</v>
      </c>
      <c r="H168" s="5" t="s">
        <v>5</v>
      </c>
      <c r="I168" s="5" t="s">
        <v>5</v>
      </c>
      <c r="J168" s="5" t="s">
        <v>17</v>
      </c>
      <c r="K168" s="5" t="s">
        <v>173</v>
      </c>
      <c r="L168" s="5" t="s">
        <v>472</v>
      </c>
      <c r="M168" s="5" t="s">
        <v>473</v>
      </c>
      <c r="N168" s="10">
        <v>10</v>
      </c>
      <c r="O168" s="10">
        <v>2930</v>
      </c>
      <c r="P168" s="5"/>
      <c r="Q168" s="4" t="s">
        <v>353</v>
      </c>
      <c r="R168" s="4"/>
      <c r="S168" s="1">
        <f>IF(P168="",0,1)</f>
        <v>0</v>
      </c>
      <c r="T168" s="1">
        <f>IF(B168="126",1,0)</f>
        <v>0</v>
      </c>
    </row>
    <row r="169" spans="1:20" ht="21" customHeight="1" x14ac:dyDescent="0.25">
      <c r="A169" s="4" t="s">
        <v>854</v>
      </c>
      <c r="B169" s="4" t="s">
        <v>9</v>
      </c>
      <c r="C169" s="5" t="s">
        <v>12</v>
      </c>
      <c r="D169" s="5" t="s">
        <v>12</v>
      </c>
      <c r="E169" s="5" t="s">
        <v>13</v>
      </c>
      <c r="F169" s="5" t="s">
        <v>12</v>
      </c>
      <c r="G169" s="5" t="s">
        <v>16</v>
      </c>
      <c r="H169" s="5" t="s">
        <v>5</v>
      </c>
      <c r="I169" s="5" t="s">
        <v>5</v>
      </c>
      <c r="J169" s="5" t="s">
        <v>17</v>
      </c>
      <c r="K169" s="5" t="s">
        <v>174</v>
      </c>
      <c r="L169" s="5" t="s">
        <v>474</v>
      </c>
      <c r="M169" s="5" t="s">
        <v>475</v>
      </c>
      <c r="N169" s="10">
        <v>5</v>
      </c>
      <c r="O169" s="10">
        <v>1472</v>
      </c>
      <c r="P169" s="5"/>
      <c r="Q169" s="4" t="s">
        <v>353</v>
      </c>
      <c r="R169" s="4"/>
      <c r="S169" s="1">
        <f>IF(P169="",0,1)</f>
        <v>0</v>
      </c>
      <c r="T169" s="1">
        <f>IF(B169="126",1,0)</f>
        <v>0</v>
      </c>
    </row>
    <row r="170" spans="1:20" ht="21" customHeight="1" x14ac:dyDescent="0.25">
      <c r="A170" s="4" t="s">
        <v>674</v>
      </c>
      <c r="B170" s="4" t="s">
        <v>9</v>
      </c>
      <c r="C170" s="5" t="s">
        <v>12</v>
      </c>
      <c r="D170" s="5" t="s">
        <v>12</v>
      </c>
      <c r="E170" s="5" t="s">
        <v>13</v>
      </c>
      <c r="F170" s="5" t="s">
        <v>12</v>
      </c>
      <c r="G170" s="5" t="s">
        <v>16</v>
      </c>
      <c r="H170" s="5" t="s">
        <v>5</v>
      </c>
      <c r="I170" s="5" t="s">
        <v>5</v>
      </c>
      <c r="J170" s="5" t="s">
        <v>17</v>
      </c>
      <c r="K170" s="5" t="s">
        <v>175</v>
      </c>
      <c r="L170" s="5" t="s">
        <v>476</v>
      </c>
      <c r="M170" s="5" t="s">
        <v>477</v>
      </c>
      <c r="N170" s="10">
        <v>4</v>
      </c>
      <c r="O170" s="10">
        <v>1130</v>
      </c>
      <c r="P170" s="5"/>
      <c r="Q170" s="4" t="s">
        <v>353</v>
      </c>
      <c r="R170" s="4"/>
      <c r="S170" s="1">
        <f>IF(P170="",0,1)</f>
        <v>0</v>
      </c>
      <c r="T170" s="1">
        <f>IF(B170="126",1,0)</f>
        <v>0</v>
      </c>
    </row>
    <row r="171" spans="1:20" ht="21" customHeight="1" x14ac:dyDescent="0.25">
      <c r="A171" s="4" t="s">
        <v>145</v>
      </c>
      <c r="B171" s="4" t="s">
        <v>9</v>
      </c>
      <c r="C171" s="5" t="s">
        <v>12</v>
      </c>
      <c r="D171" s="5" t="s">
        <v>12</v>
      </c>
      <c r="E171" s="5" t="s">
        <v>13</v>
      </c>
      <c r="F171" s="5" t="s">
        <v>12</v>
      </c>
      <c r="G171" s="5" t="s">
        <v>16</v>
      </c>
      <c r="H171" s="5" t="s">
        <v>5</v>
      </c>
      <c r="I171" s="5" t="s">
        <v>5</v>
      </c>
      <c r="J171" s="5" t="s">
        <v>17</v>
      </c>
      <c r="K171" s="5" t="s">
        <v>176</v>
      </c>
      <c r="L171" s="5" t="s">
        <v>177</v>
      </c>
      <c r="M171" s="5" t="s">
        <v>326</v>
      </c>
      <c r="N171" s="10">
        <v>13</v>
      </c>
      <c r="O171" s="10">
        <v>3760</v>
      </c>
      <c r="P171" s="5"/>
      <c r="Q171" s="4" t="s">
        <v>353</v>
      </c>
      <c r="R171" s="4"/>
      <c r="S171" s="1">
        <f>IF(P171="",0,1)</f>
        <v>0</v>
      </c>
      <c r="T171" s="1">
        <f>IF(B171="126",1,0)</f>
        <v>0</v>
      </c>
    </row>
    <row r="172" spans="1:20" ht="21" customHeight="1" x14ac:dyDescent="0.25">
      <c r="A172" s="4" t="s">
        <v>146</v>
      </c>
      <c r="B172" s="4" t="s">
        <v>9</v>
      </c>
      <c r="C172" s="5" t="s">
        <v>12</v>
      </c>
      <c r="D172" s="5" t="s">
        <v>12</v>
      </c>
      <c r="E172" s="5" t="s">
        <v>13</v>
      </c>
      <c r="F172" s="5" t="s">
        <v>12</v>
      </c>
      <c r="G172" s="5" t="s">
        <v>16</v>
      </c>
      <c r="H172" s="5" t="s">
        <v>5</v>
      </c>
      <c r="I172" s="5" t="s">
        <v>5</v>
      </c>
      <c r="J172" s="5" t="s">
        <v>17</v>
      </c>
      <c r="K172" s="5" t="s">
        <v>178</v>
      </c>
      <c r="L172" s="5" t="s">
        <v>179</v>
      </c>
      <c r="M172" s="5" t="s">
        <v>478</v>
      </c>
      <c r="N172" s="10">
        <v>6</v>
      </c>
      <c r="O172" s="10">
        <v>1730</v>
      </c>
      <c r="P172" s="5"/>
      <c r="Q172" s="4" t="s">
        <v>353</v>
      </c>
      <c r="R172" s="4"/>
      <c r="S172" s="1">
        <f>IF(P172="",0,1)</f>
        <v>0</v>
      </c>
      <c r="T172" s="1">
        <f>IF(B172="126",1,0)</f>
        <v>0</v>
      </c>
    </row>
    <row r="173" spans="1:20" ht="21" customHeight="1" x14ac:dyDescent="0.25">
      <c r="A173" s="4" t="s">
        <v>855</v>
      </c>
      <c r="B173" s="4" t="s">
        <v>9</v>
      </c>
      <c r="C173" s="5" t="s">
        <v>12</v>
      </c>
      <c r="D173" s="5" t="s">
        <v>12</v>
      </c>
      <c r="E173" s="5" t="s">
        <v>13</v>
      </c>
      <c r="F173" s="5" t="s">
        <v>12</v>
      </c>
      <c r="G173" s="5" t="s">
        <v>16</v>
      </c>
      <c r="H173" s="5" t="s">
        <v>5</v>
      </c>
      <c r="I173" s="5" t="s">
        <v>5</v>
      </c>
      <c r="J173" s="5" t="s">
        <v>17</v>
      </c>
      <c r="K173" s="5" t="s">
        <v>180</v>
      </c>
      <c r="L173" s="5" t="s">
        <v>32</v>
      </c>
      <c r="M173" s="5" t="s">
        <v>327</v>
      </c>
      <c r="N173" s="10">
        <v>22</v>
      </c>
      <c r="O173" s="10">
        <v>6513</v>
      </c>
      <c r="P173" s="5"/>
      <c r="Q173" s="4" t="s">
        <v>353</v>
      </c>
      <c r="R173" s="4"/>
      <c r="S173" s="1">
        <f>IF(P173="",0,1)</f>
        <v>0</v>
      </c>
      <c r="T173" s="1">
        <f>IF(B173="126",1,0)</f>
        <v>0</v>
      </c>
    </row>
    <row r="174" spans="1:20" ht="21" customHeight="1" x14ac:dyDescent="0.25">
      <c r="A174" s="4" t="s">
        <v>147</v>
      </c>
      <c r="B174" s="4" t="s">
        <v>9</v>
      </c>
      <c r="C174" s="5" t="s">
        <v>12</v>
      </c>
      <c r="D174" s="5" t="s">
        <v>12</v>
      </c>
      <c r="E174" s="5" t="s">
        <v>13</v>
      </c>
      <c r="F174" s="5" t="s">
        <v>12</v>
      </c>
      <c r="G174" s="5" t="s">
        <v>16</v>
      </c>
      <c r="H174" s="5" t="s">
        <v>5</v>
      </c>
      <c r="I174" s="5" t="s">
        <v>5</v>
      </c>
      <c r="J174" s="5" t="s">
        <v>17</v>
      </c>
      <c r="K174" s="5" t="s">
        <v>181</v>
      </c>
      <c r="L174" s="5" t="s">
        <v>479</v>
      </c>
      <c r="M174" s="5" t="s">
        <v>480</v>
      </c>
      <c r="N174" s="10">
        <v>6</v>
      </c>
      <c r="O174" s="10">
        <v>1744</v>
      </c>
      <c r="P174" s="5"/>
      <c r="Q174" s="4" t="s">
        <v>353</v>
      </c>
      <c r="R174" s="4"/>
      <c r="S174" s="1">
        <f>IF(P174="",0,1)</f>
        <v>0</v>
      </c>
      <c r="T174" s="1">
        <f>IF(B174="126",1,0)</f>
        <v>0</v>
      </c>
    </row>
    <row r="175" spans="1:20" ht="21" customHeight="1" x14ac:dyDescent="0.25">
      <c r="A175" s="4" t="s">
        <v>148</v>
      </c>
      <c r="B175" s="4" t="s">
        <v>9</v>
      </c>
      <c r="C175" s="5" t="s">
        <v>12</v>
      </c>
      <c r="D175" s="5" t="s">
        <v>12</v>
      </c>
      <c r="E175" s="5" t="s">
        <v>13</v>
      </c>
      <c r="F175" s="5" t="s">
        <v>12</v>
      </c>
      <c r="G175" s="5" t="s">
        <v>16</v>
      </c>
      <c r="H175" s="5" t="s">
        <v>5</v>
      </c>
      <c r="I175" s="5" t="s">
        <v>5</v>
      </c>
      <c r="J175" s="5" t="s">
        <v>17</v>
      </c>
      <c r="K175" s="5" t="s">
        <v>182</v>
      </c>
      <c r="L175" s="5" t="s">
        <v>481</v>
      </c>
      <c r="M175" s="5" t="s">
        <v>328</v>
      </c>
      <c r="N175" s="10">
        <v>17</v>
      </c>
      <c r="O175" s="10">
        <v>4960</v>
      </c>
      <c r="P175" s="5"/>
      <c r="Q175" s="4" t="s">
        <v>353</v>
      </c>
      <c r="R175" s="4"/>
      <c r="S175" s="1">
        <f>IF(P175="",0,1)</f>
        <v>0</v>
      </c>
      <c r="T175" s="1">
        <f>IF(B175="126",1,0)</f>
        <v>0</v>
      </c>
    </row>
    <row r="176" spans="1:20" ht="21" customHeight="1" x14ac:dyDescent="0.25">
      <c r="A176" s="4" t="s">
        <v>856</v>
      </c>
      <c r="B176" s="4" t="s">
        <v>9</v>
      </c>
      <c r="C176" s="5" t="s">
        <v>12</v>
      </c>
      <c r="D176" s="5" t="s">
        <v>12</v>
      </c>
      <c r="E176" s="5" t="s">
        <v>13</v>
      </c>
      <c r="F176" s="5" t="s">
        <v>12</v>
      </c>
      <c r="G176" s="5" t="s">
        <v>16</v>
      </c>
      <c r="H176" s="5" t="s">
        <v>5</v>
      </c>
      <c r="I176" s="5" t="s">
        <v>5</v>
      </c>
      <c r="J176" s="5" t="s">
        <v>17</v>
      </c>
      <c r="K176" s="5" t="s">
        <v>426</v>
      </c>
      <c r="L176" s="5" t="s">
        <v>34</v>
      </c>
      <c r="M176" s="5" t="s">
        <v>482</v>
      </c>
      <c r="N176" s="10">
        <v>4</v>
      </c>
      <c r="O176" s="10">
        <v>1186</v>
      </c>
      <c r="P176" s="5"/>
      <c r="Q176" s="4" t="s">
        <v>353</v>
      </c>
      <c r="R176" s="4"/>
      <c r="S176" s="1">
        <f>IF(P176="",0,1)</f>
        <v>0</v>
      </c>
      <c r="T176" s="1">
        <f>IF(B176="126",1,0)</f>
        <v>0</v>
      </c>
    </row>
    <row r="177" spans="1:20" ht="21" customHeight="1" x14ac:dyDescent="0.25">
      <c r="A177" s="4" t="s">
        <v>683</v>
      </c>
      <c r="B177" s="4" t="s">
        <v>9</v>
      </c>
      <c r="C177" s="5" t="s">
        <v>12</v>
      </c>
      <c r="D177" s="5" t="s">
        <v>12</v>
      </c>
      <c r="E177" s="5" t="s">
        <v>13</v>
      </c>
      <c r="F177" s="5" t="s">
        <v>12</v>
      </c>
      <c r="G177" s="5" t="s">
        <v>16</v>
      </c>
      <c r="H177" s="5" t="s">
        <v>5</v>
      </c>
      <c r="I177" s="5" t="s">
        <v>5</v>
      </c>
      <c r="J177" s="5" t="s">
        <v>17</v>
      </c>
      <c r="K177" s="5" t="s">
        <v>483</v>
      </c>
      <c r="L177" s="5" t="s">
        <v>484</v>
      </c>
      <c r="M177" s="5" t="s">
        <v>485</v>
      </c>
      <c r="N177" s="10">
        <v>4</v>
      </c>
      <c r="O177" s="10">
        <v>1130</v>
      </c>
      <c r="P177" s="5"/>
      <c r="Q177" s="4" t="s">
        <v>353</v>
      </c>
      <c r="R177" s="4"/>
      <c r="S177" s="1">
        <f>IF(P177="",0,1)</f>
        <v>0</v>
      </c>
      <c r="T177" s="1">
        <f>IF(B177="126",1,0)</f>
        <v>0</v>
      </c>
    </row>
    <row r="178" spans="1:20" ht="21" customHeight="1" x14ac:dyDescent="0.25">
      <c r="A178" s="4" t="s">
        <v>686</v>
      </c>
      <c r="B178" s="4" t="s">
        <v>9</v>
      </c>
      <c r="C178" s="5" t="s">
        <v>12</v>
      </c>
      <c r="D178" s="5" t="s">
        <v>12</v>
      </c>
      <c r="E178" s="5" t="s">
        <v>13</v>
      </c>
      <c r="F178" s="5" t="s">
        <v>12</v>
      </c>
      <c r="G178" s="5" t="s">
        <v>16</v>
      </c>
      <c r="H178" s="5" t="s">
        <v>5</v>
      </c>
      <c r="I178" s="5" t="s">
        <v>5</v>
      </c>
      <c r="J178" s="5" t="s">
        <v>17</v>
      </c>
      <c r="K178" s="5" t="s">
        <v>486</v>
      </c>
      <c r="L178" s="5" t="s">
        <v>487</v>
      </c>
      <c r="M178" s="5" t="s">
        <v>488</v>
      </c>
      <c r="N178" s="10">
        <v>5</v>
      </c>
      <c r="O178" s="10">
        <v>1484</v>
      </c>
      <c r="P178" s="5"/>
      <c r="Q178" s="4" t="s">
        <v>353</v>
      </c>
      <c r="R178" s="4"/>
      <c r="S178" s="1">
        <f>IF(P178="",0,1)</f>
        <v>0</v>
      </c>
      <c r="T178" s="1">
        <f>IF(B178="126",1,0)</f>
        <v>0</v>
      </c>
    </row>
    <row r="179" spans="1:20" ht="21" customHeight="1" x14ac:dyDescent="0.25">
      <c r="A179" s="4" t="s">
        <v>857</v>
      </c>
      <c r="B179" s="4" t="s">
        <v>9</v>
      </c>
      <c r="C179" s="5" t="s">
        <v>12</v>
      </c>
      <c r="D179" s="5" t="s">
        <v>12</v>
      </c>
      <c r="E179" s="5" t="s">
        <v>13</v>
      </c>
      <c r="F179" s="5" t="s">
        <v>12</v>
      </c>
      <c r="G179" s="5" t="s">
        <v>16</v>
      </c>
      <c r="H179" s="5" t="s">
        <v>5</v>
      </c>
      <c r="I179" s="5" t="s">
        <v>5</v>
      </c>
      <c r="J179" s="5" t="s">
        <v>17</v>
      </c>
      <c r="K179" s="5" t="s">
        <v>489</v>
      </c>
      <c r="L179" s="5" t="s">
        <v>490</v>
      </c>
      <c r="M179" s="5" t="s">
        <v>491</v>
      </c>
      <c r="N179" s="10">
        <v>9</v>
      </c>
      <c r="O179" s="10">
        <v>2630</v>
      </c>
      <c r="P179" s="5"/>
      <c r="Q179" s="4" t="s">
        <v>353</v>
      </c>
      <c r="R179" s="4"/>
      <c r="S179" s="1">
        <f>IF(P179="",0,1)</f>
        <v>0</v>
      </c>
      <c r="T179" s="1">
        <f>IF(B179="126",1,0)</f>
        <v>0</v>
      </c>
    </row>
    <row r="180" spans="1:20" ht="21" customHeight="1" x14ac:dyDescent="0.25">
      <c r="A180" s="4" t="s">
        <v>858</v>
      </c>
      <c r="B180" s="4" t="s">
        <v>9</v>
      </c>
      <c r="C180" s="5" t="s">
        <v>12</v>
      </c>
      <c r="D180" s="5" t="s">
        <v>12</v>
      </c>
      <c r="E180" s="5" t="s">
        <v>13</v>
      </c>
      <c r="F180" s="5" t="s">
        <v>12</v>
      </c>
      <c r="G180" s="5" t="s">
        <v>16</v>
      </c>
      <c r="H180" s="5" t="s">
        <v>5</v>
      </c>
      <c r="I180" s="5" t="s">
        <v>5</v>
      </c>
      <c r="J180" s="5" t="s">
        <v>17</v>
      </c>
      <c r="K180" s="5" t="s">
        <v>183</v>
      </c>
      <c r="L180" s="5" t="s">
        <v>492</v>
      </c>
      <c r="M180" s="5" t="s">
        <v>329</v>
      </c>
      <c r="N180" s="10">
        <v>9</v>
      </c>
      <c r="O180" s="10">
        <v>2630</v>
      </c>
      <c r="P180" s="5"/>
      <c r="Q180" s="4" t="s">
        <v>353</v>
      </c>
      <c r="R180" s="4"/>
      <c r="S180" s="1">
        <f>IF(P180="",0,1)</f>
        <v>0</v>
      </c>
      <c r="T180" s="1">
        <f>IF(B180="126",1,0)</f>
        <v>0</v>
      </c>
    </row>
    <row r="181" spans="1:20" ht="21" customHeight="1" x14ac:dyDescent="0.25">
      <c r="A181" s="4" t="s">
        <v>950</v>
      </c>
      <c r="B181" s="4" t="s">
        <v>10</v>
      </c>
      <c r="C181" s="5" t="s">
        <v>5</v>
      </c>
      <c r="D181" s="5" t="s">
        <v>5</v>
      </c>
      <c r="E181" s="5" t="s">
        <v>14</v>
      </c>
      <c r="F181" s="5" t="s">
        <v>5</v>
      </c>
      <c r="G181" s="5" t="s">
        <v>18</v>
      </c>
      <c r="H181" s="5" t="s">
        <v>5</v>
      </c>
      <c r="I181" s="5" t="s">
        <v>5</v>
      </c>
      <c r="J181" s="5" t="s">
        <v>19</v>
      </c>
      <c r="K181" s="5" t="s">
        <v>184</v>
      </c>
      <c r="L181" s="5" t="s">
        <v>690</v>
      </c>
      <c r="M181" s="5" t="s">
        <v>691</v>
      </c>
      <c r="N181" s="10">
        <v>4</v>
      </c>
      <c r="O181" s="10">
        <v>1164</v>
      </c>
      <c r="P181" s="5"/>
      <c r="Q181" s="4" t="s">
        <v>353</v>
      </c>
      <c r="R181" s="4"/>
      <c r="S181" s="1">
        <f>IF(P181="",0,1)</f>
        <v>0</v>
      </c>
      <c r="T181" s="1">
        <f>IF(B181="126",1,0)</f>
        <v>0</v>
      </c>
    </row>
    <row r="182" spans="1:20" ht="21" customHeight="1" x14ac:dyDescent="0.25">
      <c r="A182" s="4" t="s">
        <v>951</v>
      </c>
      <c r="B182" s="4" t="s">
        <v>10</v>
      </c>
      <c r="C182" s="5" t="s">
        <v>5</v>
      </c>
      <c r="D182" s="5" t="s">
        <v>5</v>
      </c>
      <c r="E182" s="5" t="s">
        <v>14</v>
      </c>
      <c r="F182" s="5" t="s">
        <v>5</v>
      </c>
      <c r="G182" s="5" t="s">
        <v>18</v>
      </c>
      <c r="H182" s="5" t="s">
        <v>5</v>
      </c>
      <c r="I182" s="5" t="s">
        <v>5</v>
      </c>
      <c r="J182" s="5" t="s">
        <v>19</v>
      </c>
      <c r="K182" s="5" t="s">
        <v>185</v>
      </c>
      <c r="L182" s="5" t="s">
        <v>692</v>
      </c>
      <c r="M182" s="5" t="s">
        <v>693</v>
      </c>
      <c r="N182" s="10">
        <v>5</v>
      </c>
      <c r="O182" s="10">
        <v>1370</v>
      </c>
      <c r="P182" s="5"/>
      <c r="Q182" s="4" t="s">
        <v>353</v>
      </c>
      <c r="R182" s="4"/>
      <c r="S182" s="1">
        <f>IF(P182="",0,1)</f>
        <v>0</v>
      </c>
      <c r="T182" s="1">
        <f>IF(B182="126",1,0)</f>
        <v>0</v>
      </c>
    </row>
    <row r="183" spans="1:20" ht="21" customHeight="1" x14ac:dyDescent="0.25">
      <c r="A183" s="4" t="s">
        <v>952</v>
      </c>
      <c r="B183" s="4" t="s">
        <v>10</v>
      </c>
      <c r="C183" s="5" t="s">
        <v>5</v>
      </c>
      <c r="D183" s="5" t="s">
        <v>5</v>
      </c>
      <c r="E183" s="5" t="s">
        <v>14</v>
      </c>
      <c r="F183" s="5" t="s">
        <v>5</v>
      </c>
      <c r="G183" s="5" t="s">
        <v>18</v>
      </c>
      <c r="H183" s="5" t="s">
        <v>5</v>
      </c>
      <c r="I183" s="5" t="s">
        <v>5</v>
      </c>
      <c r="J183" s="5" t="s">
        <v>19</v>
      </c>
      <c r="K183" s="5" t="s">
        <v>186</v>
      </c>
      <c r="L183" s="5" t="s">
        <v>694</v>
      </c>
      <c r="M183" s="5" t="s">
        <v>695</v>
      </c>
      <c r="N183" s="10">
        <v>5</v>
      </c>
      <c r="O183" s="10">
        <v>1455</v>
      </c>
      <c r="P183" s="5"/>
      <c r="Q183" s="4" t="s">
        <v>353</v>
      </c>
      <c r="R183" s="4"/>
      <c r="S183" s="1">
        <f>IF(P183="",0,1)</f>
        <v>0</v>
      </c>
      <c r="T183" s="1">
        <f>IF(B183="126",1,0)</f>
        <v>0</v>
      </c>
    </row>
    <row r="184" spans="1:20" ht="21" customHeight="1" x14ac:dyDescent="0.25">
      <c r="A184" s="4" t="s">
        <v>953</v>
      </c>
      <c r="B184" s="4" t="s">
        <v>10</v>
      </c>
      <c r="C184" s="5" t="s">
        <v>5</v>
      </c>
      <c r="D184" s="5" t="s">
        <v>5</v>
      </c>
      <c r="E184" s="5" t="s">
        <v>14</v>
      </c>
      <c r="F184" s="5" t="s">
        <v>5</v>
      </c>
      <c r="G184" s="5" t="s">
        <v>18</v>
      </c>
      <c r="H184" s="5" t="s">
        <v>5</v>
      </c>
      <c r="I184" s="5" t="s">
        <v>5</v>
      </c>
      <c r="J184" s="5" t="s">
        <v>19</v>
      </c>
      <c r="K184" s="5" t="s">
        <v>414</v>
      </c>
      <c r="L184" s="5" t="s">
        <v>415</v>
      </c>
      <c r="M184" s="5" t="s">
        <v>416</v>
      </c>
      <c r="N184" s="10">
        <v>4</v>
      </c>
      <c r="O184" s="10">
        <v>1200</v>
      </c>
      <c r="P184" s="5"/>
      <c r="Q184" s="4" t="s">
        <v>353</v>
      </c>
      <c r="R184" s="4"/>
      <c r="S184" s="1">
        <f>IF(P184="",0,1)</f>
        <v>0</v>
      </c>
      <c r="T184" s="1">
        <f>IF(B184="126",1,0)</f>
        <v>0</v>
      </c>
    </row>
    <row r="185" spans="1:20" ht="21" customHeight="1" x14ac:dyDescent="0.25">
      <c r="A185" s="4" t="s">
        <v>954</v>
      </c>
      <c r="B185" s="4" t="s">
        <v>10</v>
      </c>
      <c r="C185" s="5" t="s">
        <v>5</v>
      </c>
      <c r="D185" s="5" t="s">
        <v>5</v>
      </c>
      <c r="E185" s="5" t="s">
        <v>14</v>
      </c>
      <c r="F185" s="5" t="s">
        <v>5</v>
      </c>
      <c r="G185" s="5" t="s">
        <v>18</v>
      </c>
      <c r="H185" s="5" t="s">
        <v>5</v>
      </c>
      <c r="I185" s="5" t="s">
        <v>5</v>
      </c>
      <c r="J185" s="5" t="s">
        <v>19</v>
      </c>
      <c r="K185" s="5" t="s">
        <v>417</v>
      </c>
      <c r="L185" s="5" t="s">
        <v>418</v>
      </c>
      <c r="M185" s="5" t="s">
        <v>419</v>
      </c>
      <c r="N185" s="10">
        <v>4</v>
      </c>
      <c r="O185" s="10">
        <v>1199</v>
      </c>
      <c r="P185" s="5"/>
      <c r="Q185" s="4" t="s">
        <v>353</v>
      </c>
      <c r="R185" s="4"/>
      <c r="S185" s="1">
        <f>IF(P185="",0,1)</f>
        <v>0</v>
      </c>
      <c r="T185" s="1">
        <f>IF(B185="126",1,0)</f>
        <v>0</v>
      </c>
    </row>
    <row r="186" spans="1:20" ht="21" customHeight="1" x14ac:dyDescent="0.25">
      <c r="A186" s="4" t="s">
        <v>1028</v>
      </c>
      <c r="B186" s="4" t="s">
        <v>11</v>
      </c>
      <c r="C186" s="5" t="s">
        <v>23</v>
      </c>
      <c r="D186" s="5" t="s">
        <v>23</v>
      </c>
      <c r="E186" s="5" t="s">
        <v>22</v>
      </c>
      <c r="F186" s="5" t="s">
        <v>23</v>
      </c>
      <c r="G186" s="5" t="s">
        <v>20</v>
      </c>
      <c r="H186" s="5" t="s">
        <v>5</v>
      </c>
      <c r="I186" s="5" t="s">
        <v>5</v>
      </c>
      <c r="J186" s="5" t="s">
        <v>21</v>
      </c>
      <c r="K186" s="5" t="s">
        <v>431</v>
      </c>
      <c r="L186" s="5" t="s">
        <v>696</v>
      </c>
      <c r="M186" s="5" t="s">
        <v>1054</v>
      </c>
      <c r="N186" s="10">
        <v>10</v>
      </c>
      <c r="O186" s="10">
        <v>2930</v>
      </c>
      <c r="P186" s="5"/>
      <c r="Q186" s="4" t="s">
        <v>353</v>
      </c>
      <c r="R186" s="4"/>
      <c r="S186" s="1">
        <f>IF(P186="",0,1)</f>
        <v>0</v>
      </c>
      <c r="T186" s="1">
        <f>IF(B186="126",1,0)</f>
        <v>0</v>
      </c>
    </row>
    <row r="187" spans="1:20" ht="21" customHeight="1" x14ac:dyDescent="0.25">
      <c r="A187" s="4" t="s">
        <v>1029</v>
      </c>
      <c r="B187" s="4" t="s">
        <v>11</v>
      </c>
      <c r="C187" s="5" t="s">
        <v>23</v>
      </c>
      <c r="D187" s="5" t="s">
        <v>23</v>
      </c>
      <c r="E187" s="5" t="s">
        <v>22</v>
      </c>
      <c r="F187" s="5" t="s">
        <v>23</v>
      </c>
      <c r="G187" s="5" t="s">
        <v>20</v>
      </c>
      <c r="H187" s="5" t="s">
        <v>5</v>
      </c>
      <c r="I187" s="5" t="s">
        <v>5</v>
      </c>
      <c r="J187" s="5" t="s">
        <v>21</v>
      </c>
      <c r="K187" s="5" t="s">
        <v>187</v>
      </c>
      <c r="L187" s="5" t="s">
        <v>188</v>
      </c>
      <c r="M187" s="5" t="s">
        <v>341</v>
      </c>
      <c r="N187" s="10">
        <v>13</v>
      </c>
      <c r="O187" s="10">
        <v>3830</v>
      </c>
      <c r="P187" s="5"/>
      <c r="Q187" s="4" t="s">
        <v>353</v>
      </c>
      <c r="R187" s="4"/>
      <c r="S187" s="1">
        <f>IF(P187="",0,1)</f>
        <v>0</v>
      </c>
      <c r="T187" s="1">
        <f>IF(B187="126",1,0)</f>
        <v>0</v>
      </c>
    </row>
    <row r="188" spans="1:20" ht="21" customHeight="1" x14ac:dyDescent="0.25">
      <c r="A188" s="4" t="s">
        <v>442</v>
      </c>
      <c r="B188" s="4" t="s">
        <v>11</v>
      </c>
      <c r="C188" s="5" t="s">
        <v>23</v>
      </c>
      <c r="D188" s="5" t="s">
        <v>23</v>
      </c>
      <c r="E188" s="5" t="s">
        <v>22</v>
      </c>
      <c r="F188" s="5" t="s">
        <v>23</v>
      </c>
      <c r="G188" s="5" t="s">
        <v>20</v>
      </c>
      <c r="H188" s="5" t="s">
        <v>5</v>
      </c>
      <c r="I188" s="5" t="s">
        <v>5</v>
      </c>
      <c r="J188" s="5" t="s">
        <v>21</v>
      </c>
      <c r="K188" s="5" t="s">
        <v>338</v>
      </c>
      <c r="L188" s="5" t="s">
        <v>697</v>
      </c>
      <c r="M188" s="5" t="s">
        <v>341</v>
      </c>
      <c r="N188" s="10">
        <v>14</v>
      </c>
      <c r="O188" s="10">
        <v>4130</v>
      </c>
      <c r="P188" s="5"/>
      <c r="Q188" s="4" t="s">
        <v>353</v>
      </c>
      <c r="R188" s="4"/>
      <c r="S188" s="1">
        <f>IF(P188="",0,1)</f>
        <v>0</v>
      </c>
      <c r="T188" s="1">
        <f>IF(B188="126",1,0)</f>
        <v>0</v>
      </c>
    </row>
    <row r="189" spans="1:20" ht="21" customHeight="1" x14ac:dyDescent="0.25">
      <c r="A189" s="4" t="s">
        <v>1030</v>
      </c>
      <c r="B189" s="4" t="s">
        <v>11</v>
      </c>
      <c r="C189" s="5" t="s">
        <v>23</v>
      </c>
      <c r="D189" s="5" t="s">
        <v>23</v>
      </c>
      <c r="E189" s="5" t="s">
        <v>22</v>
      </c>
      <c r="F189" s="5" t="s">
        <v>23</v>
      </c>
      <c r="G189" s="5" t="s">
        <v>20</v>
      </c>
      <c r="H189" s="5" t="s">
        <v>5</v>
      </c>
      <c r="I189" s="5" t="s">
        <v>5</v>
      </c>
      <c r="J189" s="5" t="s">
        <v>21</v>
      </c>
      <c r="K189" s="5" t="s">
        <v>189</v>
      </c>
      <c r="L189" s="5" t="s">
        <v>698</v>
      </c>
      <c r="M189" s="5" t="s">
        <v>339</v>
      </c>
      <c r="N189" s="10">
        <v>16</v>
      </c>
      <c r="O189" s="10">
        <v>4730</v>
      </c>
      <c r="P189" s="5"/>
      <c r="Q189" s="4" t="s">
        <v>353</v>
      </c>
      <c r="R189" s="4"/>
      <c r="S189" s="1">
        <f>IF(P189="",0,1)</f>
        <v>0</v>
      </c>
      <c r="T189" s="1">
        <f>IF(B189="126",1,0)</f>
        <v>0</v>
      </c>
    </row>
    <row r="190" spans="1:20" ht="21" customHeight="1" x14ac:dyDescent="0.25">
      <c r="A190" s="4" t="s">
        <v>1031</v>
      </c>
      <c r="B190" s="4" t="s">
        <v>11</v>
      </c>
      <c r="C190" s="5" t="s">
        <v>23</v>
      </c>
      <c r="D190" s="5" t="s">
        <v>23</v>
      </c>
      <c r="E190" s="5" t="s">
        <v>22</v>
      </c>
      <c r="F190" s="5" t="s">
        <v>23</v>
      </c>
      <c r="G190" s="5" t="s">
        <v>20</v>
      </c>
      <c r="H190" s="5" t="s">
        <v>5</v>
      </c>
      <c r="I190" s="5" t="s">
        <v>5</v>
      </c>
      <c r="J190" s="5" t="s">
        <v>21</v>
      </c>
      <c r="K190" s="5" t="s">
        <v>190</v>
      </c>
      <c r="L190" s="5" t="s">
        <v>35</v>
      </c>
      <c r="M190" s="5" t="s">
        <v>1055</v>
      </c>
      <c r="N190" s="10">
        <v>26</v>
      </c>
      <c r="O190" s="10">
        <v>7432</v>
      </c>
      <c r="P190" s="5"/>
      <c r="Q190" s="4" t="s">
        <v>353</v>
      </c>
      <c r="R190" s="4"/>
      <c r="S190" s="1">
        <f>IF(P190="",0,1)</f>
        <v>0</v>
      </c>
      <c r="T190" s="1">
        <f>IF(B190="126",1,0)</f>
        <v>0</v>
      </c>
    </row>
    <row r="191" spans="1:20" ht="21" customHeight="1" x14ac:dyDescent="0.25">
      <c r="A191" s="4" t="s">
        <v>1032</v>
      </c>
      <c r="B191" s="4" t="s">
        <v>11</v>
      </c>
      <c r="C191" s="5" t="s">
        <v>23</v>
      </c>
      <c r="D191" s="5" t="s">
        <v>23</v>
      </c>
      <c r="E191" s="5" t="s">
        <v>22</v>
      </c>
      <c r="F191" s="5" t="s">
        <v>23</v>
      </c>
      <c r="G191" s="5" t="s">
        <v>20</v>
      </c>
      <c r="H191" s="5" t="s">
        <v>5</v>
      </c>
      <c r="I191" s="5" t="s">
        <v>5</v>
      </c>
      <c r="J191" s="5" t="s">
        <v>21</v>
      </c>
      <c r="K191" s="5" t="s">
        <v>191</v>
      </c>
      <c r="L191" s="5" t="s">
        <v>192</v>
      </c>
      <c r="M191" s="5" t="s">
        <v>302</v>
      </c>
      <c r="N191" s="10">
        <v>8</v>
      </c>
      <c r="O191" s="10">
        <v>2354</v>
      </c>
      <c r="P191" s="5"/>
      <c r="Q191" s="4" t="s">
        <v>353</v>
      </c>
      <c r="R191" s="4"/>
      <c r="S191" s="1">
        <f>IF(P191="",0,1)</f>
        <v>0</v>
      </c>
      <c r="T191" s="1">
        <f>IF(B191="126",1,0)</f>
        <v>0</v>
      </c>
    </row>
    <row r="192" spans="1:20" ht="21" customHeight="1" x14ac:dyDescent="0.25">
      <c r="A192" s="4" t="s">
        <v>1033</v>
      </c>
      <c r="B192" s="4" t="s">
        <v>11</v>
      </c>
      <c r="C192" s="5" t="s">
        <v>23</v>
      </c>
      <c r="D192" s="5" t="s">
        <v>23</v>
      </c>
      <c r="E192" s="5" t="s">
        <v>22</v>
      </c>
      <c r="F192" s="5" t="s">
        <v>23</v>
      </c>
      <c r="G192" s="5" t="s">
        <v>20</v>
      </c>
      <c r="H192" s="5" t="s">
        <v>5</v>
      </c>
      <c r="I192" s="5" t="s">
        <v>5</v>
      </c>
      <c r="J192" s="5" t="s">
        <v>21</v>
      </c>
      <c r="K192" s="5" t="s">
        <v>193</v>
      </c>
      <c r="L192" s="5" t="s">
        <v>699</v>
      </c>
      <c r="M192" s="5" t="s">
        <v>1056</v>
      </c>
      <c r="N192" s="10">
        <v>17</v>
      </c>
      <c r="O192" s="10">
        <v>5024</v>
      </c>
      <c r="P192" s="5"/>
      <c r="Q192" s="4" t="s">
        <v>353</v>
      </c>
      <c r="R192" s="4"/>
      <c r="S192" s="1">
        <f>IF(P192="",0,1)</f>
        <v>0</v>
      </c>
      <c r="T192" s="1">
        <f>IF(B192="126",1,0)</f>
        <v>0</v>
      </c>
    </row>
    <row r="193" spans="1:20" ht="21" customHeight="1" x14ac:dyDescent="0.25">
      <c r="A193" s="4" t="s">
        <v>1034</v>
      </c>
      <c r="B193" s="4" t="s">
        <v>11</v>
      </c>
      <c r="C193" s="5" t="s">
        <v>23</v>
      </c>
      <c r="D193" s="5" t="s">
        <v>23</v>
      </c>
      <c r="E193" s="5" t="s">
        <v>22</v>
      </c>
      <c r="F193" s="5" t="s">
        <v>23</v>
      </c>
      <c r="G193" s="5" t="s">
        <v>20</v>
      </c>
      <c r="H193" s="5" t="s">
        <v>5</v>
      </c>
      <c r="I193" s="5" t="s">
        <v>5</v>
      </c>
      <c r="J193" s="5" t="s">
        <v>21</v>
      </c>
      <c r="K193" s="5" t="s">
        <v>700</v>
      </c>
      <c r="L193" s="5" t="s">
        <v>701</v>
      </c>
      <c r="M193" s="5" t="s">
        <v>702</v>
      </c>
      <c r="N193" s="10">
        <v>8</v>
      </c>
      <c r="O193" s="10">
        <v>2330</v>
      </c>
      <c r="P193" s="5"/>
      <c r="Q193" s="4" t="s">
        <v>353</v>
      </c>
      <c r="R193" s="4"/>
      <c r="S193" s="1">
        <f>IF(P193="",0,1)</f>
        <v>0</v>
      </c>
      <c r="T193" s="1">
        <f>IF(B193="126",1,0)</f>
        <v>0</v>
      </c>
    </row>
    <row r="194" spans="1:20" ht="21" customHeight="1" x14ac:dyDescent="0.25">
      <c r="A194" s="4" t="s">
        <v>434</v>
      </c>
      <c r="B194" s="4" t="s">
        <v>11</v>
      </c>
      <c r="C194" s="5" t="s">
        <v>23</v>
      </c>
      <c r="D194" s="5" t="s">
        <v>23</v>
      </c>
      <c r="E194" s="5" t="s">
        <v>22</v>
      </c>
      <c r="F194" s="5" t="s">
        <v>23</v>
      </c>
      <c r="G194" s="5" t="s">
        <v>20</v>
      </c>
      <c r="H194" s="5" t="s">
        <v>5</v>
      </c>
      <c r="I194" s="5" t="s">
        <v>5</v>
      </c>
      <c r="J194" s="5" t="s">
        <v>21</v>
      </c>
      <c r="K194" s="5" t="s">
        <v>703</v>
      </c>
      <c r="L194" s="5" t="s">
        <v>704</v>
      </c>
      <c r="M194" s="5" t="s">
        <v>705</v>
      </c>
      <c r="N194" s="10">
        <v>4</v>
      </c>
      <c r="O194" s="10">
        <v>1176</v>
      </c>
      <c r="P194" s="5"/>
      <c r="Q194" s="4" t="s">
        <v>353</v>
      </c>
      <c r="R194" s="4"/>
      <c r="S194" s="1">
        <f>IF(P194="",0,1)</f>
        <v>0</v>
      </c>
      <c r="T194" s="1">
        <f>IF(B194="126",1,0)</f>
        <v>0</v>
      </c>
    </row>
    <row r="195" spans="1:20" ht="21" customHeight="1" x14ac:dyDescent="0.25">
      <c r="A195" s="4" t="s">
        <v>955</v>
      </c>
      <c r="B195" s="4" t="s">
        <v>11</v>
      </c>
      <c r="C195" s="5" t="s">
        <v>23</v>
      </c>
      <c r="D195" s="5" t="s">
        <v>23</v>
      </c>
      <c r="E195" s="5" t="s">
        <v>22</v>
      </c>
      <c r="F195" s="5" t="s">
        <v>23</v>
      </c>
      <c r="G195" s="5" t="s">
        <v>22</v>
      </c>
      <c r="H195" s="5" t="s">
        <v>5</v>
      </c>
      <c r="I195" s="5" t="s">
        <v>5</v>
      </c>
      <c r="J195" s="5" t="s">
        <v>23</v>
      </c>
      <c r="K195" s="5" t="s">
        <v>706</v>
      </c>
      <c r="L195" s="5" t="s">
        <v>707</v>
      </c>
      <c r="M195" s="5" t="s">
        <v>708</v>
      </c>
      <c r="N195" s="10">
        <v>3</v>
      </c>
      <c r="O195" s="10">
        <v>887</v>
      </c>
      <c r="P195" s="5"/>
      <c r="Q195" s="4" t="s">
        <v>353</v>
      </c>
      <c r="R195" s="4"/>
      <c r="S195" s="1">
        <f>IF(P195="",0,1)</f>
        <v>0</v>
      </c>
      <c r="T195" s="1">
        <f>IF(B195="126",1,0)</f>
        <v>0</v>
      </c>
    </row>
    <row r="196" spans="1:20" ht="21" customHeight="1" x14ac:dyDescent="0.25">
      <c r="A196" s="4" t="s">
        <v>956</v>
      </c>
      <c r="B196" s="4" t="s">
        <v>11</v>
      </c>
      <c r="C196" s="5" t="s">
        <v>23</v>
      </c>
      <c r="D196" s="5" t="s">
        <v>23</v>
      </c>
      <c r="E196" s="5" t="s">
        <v>22</v>
      </c>
      <c r="F196" s="5" t="s">
        <v>23</v>
      </c>
      <c r="G196" s="5" t="s">
        <v>22</v>
      </c>
      <c r="H196" s="5" t="s">
        <v>5</v>
      </c>
      <c r="I196" s="5" t="s">
        <v>5</v>
      </c>
      <c r="J196" s="5" t="s">
        <v>23</v>
      </c>
      <c r="K196" s="5" t="s">
        <v>709</v>
      </c>
      <c r="L196" s="5" t="s">
        <v>710</v>
      </c>
      <c r="M196" s="5" t="s">
        <v>711</v>
      </c>
      <c r="N196" s="10">
        <v>4</v>
      </c>
      <c r="O196" s="10">
        <v>1130</v>
      </c>
      <c r="P196" s="5"/>
      <c r="Q196" s="4" t="s">
        <v>353</v>
      </c>
      <c r="R196" s="4"/>
      <c r="S196" s="1">
        <f>IF(P196="",0,1)</f>
        <v>0</v>
      </c>
      <c r="T196" s="1">
        <f>IF(B196="126",1,0)</f>
        <v>0</v>
      </c>
    </row>
    <row r="197" spans="1:20" ht="21" customHeight="1" x14ac:dyDescent="0.25">
      <c r="A197" s="4" t="s">
        <v>957</v>
      </c>
      <c r="B197" s="4" t="s">
        <v>11</v>
      </c>
      <c r="C197" s="5" t="s">
        <v>23</v>
      </c>
      <c r="D197" s="5" t="s">
        <v>23</v>
      </c>
      <c r="E197" s="5" t="s">
        <v>22</v>
      </c>
      <c r="F197" s="5" t="s">
        <v>23</v>
      </c>
      <c r="G197" s="5" t="s">
        <v>22</v>
      </c>
      <c r="H197" s="5" t="s">
        <v>5</v>
      </c>
      <c r="I197" s="5" t="s">
        <v>5</v>
      </c>
      <c r="J197" s="5" t="s">
        <v>23</v>
      </c>
      <c r="K197" s="5" t="s">
        <v>712</v>
      </c>
      <c r="L197" s="5" t="s">
        <v>713</v>
      </c>
      <c r="M197" s="5" t="s">
        <v>714</v>
      </c>
      <c r="N197" s="10">
        <v>3</v>
      </c>
      <c r="O197" s="10">
        <v>880</v>
      </c>
      <c r="P197" s="5"/>
      <c r="Q197" s="4" t="s">
        <v>353</v>
      </c>
      <c r="R197" s="4"/>
      <c r="S197" s="1">
        <f>IF(P197="",0,1)</f>
        <v>0</v>
      </c>
      <c r="T197" s="1">
        <f>IF(B197="126",1,0)</f>
        <v>0</v>
      </c>
    </row>
    <row r="198" spans="1:20" ht="21" customHeight="1" x14ac:dyDescent="0.25">
      <c r="A198" s="4" t="s">
        <v>958</v>
      </c>
      <c r="B198" s="4" t="s">
        <v>11</v>
      </c>
      <c r="C198" s="5" t="s">
        <v>23</v>
      </c>
      <c r="D198" s="5" t="s">
        <v>23</v>
      </c>
      <c r="E198" s="5" t="s">
        <v>22</v>
      </c>
      <c r="F198" s="5" t="s">
        <v>23</v>
      </c>
      <c r="G198" s="5" t="s">
        <v>22</v>
      </c>
      <c r="H198" s="5" t="s">
        <v>5</v>
      </c>
      <c r="I198" s="5" t="s">
        <v>5</v>
      </c>
      <c r="J198" s="5" t="s">
        <v>23</v>
      </c>
      <c r="K198" s="5" t="s">
        <v>715</v>
      </c>
      <c r="L198" s="5" t="s">
        <v>716</v>
      </c>
      <c r="M198" s="5" t="s">
        <v>717</v>
      </c>
      <c r="N198" s="10">
        <v>3</v>
      </c>
      <c r="O198" s="10">
        <v>872</v>
      </c>
      <c r="P198" s="5"/>
      <c r="Q198" s="4" t="s">
        <v>353</v>
      </c>
      <c r="R198" s="4"/>
      <c r="S198" s="1">
        <f>IF(P198="",0,1)</f>
        <v>0</v>
      </c>
      <c r="T198" s="1">
        <f>IF(B198="126",1,0)</f>
        <v>0</v>
      </c>
    </row>
    <row r="199" spans="1:20" ht="21" customHeight="1" x14ac:dyDescent="0.25">
      <c r="A199" s="4" t="s">
        <v>959</v>
      </c>
      <c r="B199" s="4" t="s">
        <v>11</v>
      </c>
      <c r="C199" s="5" t="s">
        <v>23</v>
      </c>
      <c r="D199" s="5" t="s">
        <v>23</v>
      </c>
      <c r="E199" s="5" t="s">
        <v>22</v>
      </c>
      <c r="F199" s="5" t="s">
        <v>23</v>
      </c>
      <c r="G199" s="5" t="s">
        <v>22</v>
      </c>
      <c r="H199" s="5" t="s">
        <v>5</v>
      </c>
      <c r="I199" s="5" t="s">
        <v>5</v>
      </c>
      <c r="J199" s="5" t="s">
        <v>23</v>
      </c>
      <c r="K199" s="5" t="s">
        <v>194</v>
      </c>
      <c r="L199" s="5" t="s">
        <v>718</v>
      </c>
      <c r="M199" s="5" t="s">
        <v>383</v>
      </c>
      <c r="N199" s="10">
        <v>3</v>
      </c>
      <c r="O199" s="10">
        <v>895</v>
      </c>
      <c r="P199" s="5"/>
      <c r="Q199" s="4" t="s">
        <v>353</v>
      </c>
      <c r="R199" s="4"/>
      <c r="S199" s="1">
        <f>IF(P199="",0,1)</f>
        <v>0</v>
      </c>
      <c r="T199" s="1">
        <f>IF(B199="126",1,0)</f>
        <v>0</v>
      </c>
    </row>
    <row r="200" spans="1:20" ht="21" customHeight="1" x14ac:dyDescent="0.25">
      <c r="A200" s="4" t="s">
        <v>960</v>
      </c>
      <c r="B200" s="4" t="s">
        <v>11</v>
      </c>
      <c r="C200" s="5" t="s">
        <v>23</v>
      </c>
      <c r="D200" s="5" t="s">
        <v>23</v>
      </c>
      <c r="E200" s="5" t="s">
        <v>22</v>
      </c>
      <c r="F200" s="5" t="s">
        <v>23</v>
      </c>
      <c r="G200" s="5" t="s">
        <v>22</v>
      </c>
      <c r="H200" s="5" t="s">
        <v>5</v>
      </c>
      <c r="I200" s="5" t="s">
        <v>5</v>
      </c>
      <c r="J200" s="5" t="s">
        <v>23</v>
      </c>
      <c r="K200" s="5" t="s">
        <v>195</v>
      </c>
      <c r="L200" s="5" t="s">
        <v>719</v>
      </c>
      <c r="M200" s="5" t="s">
        <v>720</v>
      </c>
      <c r="N200" s="10">
        <v>5</v>
      </c>
      <c r="O200" s="10">
        <v>1488</v>
      </c>
      <c r="P200" s="5"/>
      <c r="Q200" s="4" t="s">
        <v>353</v>
      </c>
      <c r="R200" s="4"/>
      <c r="S200" s="1">
        <f>IF(P200="",0,1)</f>
        <v>0</v>
      </c>
      <c r="T200" s="1">
        <f>IF(B200="126",1,0)</f>
        <v>0</v>
      </c>
    </row>
    <row r="201" spans="1:20" ht="21" customHeight="1" x14ac:dyDescent="0.25">
      <c r="A201" s="4" t="s">
        <v>961</v>
      </c>
      <c r="B201" s="4" t="s">
        <v>11</v>
      </c>
      <c r="C201" s="5" t="s">
        <v>23</v>
      </c>
      <c r="D201" s="5" t="s">
        <v>23</v>
      </c>
      <c r="E201" s="5" t="s">
        <v>22</v>
      </c>
      <c r="F201" s="5" t="s">
        <v>23</v>
      </c>
      <c r="G201" s="5" t="s">
        <v>22</v>
      </c>
      <c r="H201" s="5" t="s">
        <v>5</v>
      </c>
      <c r="I201" s="5" t="s">
        <v>5</v>
      </c>
      <c r="J201" s="5" t="s">
        <v>23</v>
      </c>
      <c r="K201" s="5" t="s">
        <v>196</v>
      </c>
      <c r="L201" s="5" t="s">
        <v>721</v>
      </c>
      <c r="M201" s="5" t="s">
        <v>384</v>
      </c>
      <c r="N201" s="10">
        <v>14</v>
      </c>
      <c r="O201" s="10">
        <v>4154</v>
      </c>
      <c r="P201" s="5"/>
      <c r="Q201" s="4" t="s">
        <v>353</v>
      </c>
      <c r="R201" s="4"/>
      <c r="S201" s="1">
        <f>IF(P201="",0,1)</f>
        <v>0</v>
      </c>
      <c r="T201" s="1">
        <f>IF(B201="126",1,0)</f>
        <v>0</v>
      </c>
    </row>
    <row r="202" spans="1:20" ht="21" customHeight="1" x14ac:dyDescent="0.25">
      <c r="A202" s="4" t="s">
        <v>962</v>
      </c>
      <c r="B202" s="4" t="s">
        <v>11</v>
      </c>
      <c r="C202" s="5" t="s">
        <v>23</v>
      </c>
      <c r="D202" s="5" t="s">
        <v>23</v>
      </c>
      <c r="E202" s="5" t="s">
        <v>22</v>
      </c>
      <c r="F202" s="5" t="s">
        <v>23</v>
      </c>
      <c r="G202" s="5" t="s">
        <v>22</v>
      </c>
      <c r="H202" s="5" t="s">
        <v>5</v>
      </c>
      <c r="I202" s="5" t="s">
        <v>5</v>
      </c>
      <c r="J202" s="5" t="s">
        <v>23</v>
      </c>
      <c r="K202" s="5" t="s">
        <v>197</v>
      </c>
      <c r="L202" s="5" t="s">
        <v>722</v>
      </c>
      <c r="M202" s="5" t="s">
        <v>1044</v>
      </c>
      <c r="N202" s="10">
        <v>7</v>
      </c>
      <c r="O202" s="10">
        <v>2049</v>
      </c>
      <c r="P202" s="5"/>
      <c r="Q202" s="4" t="s">
        <v>353</v>
      </c>
      <c r="R202" s="4"/>
      <c r="S202" s="1">
        <f>IF(P202="",0,1)</f>
        <v>0</v>
      </c>
      <c r="T202" s="1">
        <f>IF(B202="126",1,0)</f>
        <v>0</v>
      </c>
    </row>
    <row r="203" spans="1:20" ht="21" customHeight="1" x14ac:dyDescent="0.25">
      <c r="A203" s="4" t="s">
        <v>963</v>
      </c>
      <c r="B203" s="4" t="s">
        <v>11</v>
      </c>
      <c r="C203" s="5" t="s">
        <v>23</v>
      </c>
      <c r="D203" s="5" t="s">
        <v>23</v>
      </c>
      <c r="E203" s="5" t="s">
        <v>22</v>
      </c>
      <c r="F203" s="5" t="s">
        <v>23</v>
      </c>
      <c r="G203" s="5" t="s">
        <v>22</v>
      </c>
      <c r="H203" s="5" t="s">
        <v>5</v>
      </c>
      <c r="I203" s="5" t="s">
        <v>5</v>
      </c>
      <c r="J203" s="5" t="s">
        <v>23</v>
      </c>
      <c r="K203" s="5" t="s">
        <v>198</v>
      </c>
      <c r="L203" s="5" t="s">
        <v>723</v>
      </c>
      <c r="M203" s="5" t="s">
        <v>330</v>
      </c>
      <c r="N203" s="10">
        <v>4</v>
      </c>
      <c r="O203" s="10">
        <v>1174</v>
      </c>
      <c r="P203" s="5"/>
      <c r="Q203" s="4" t="s">
        <v>353</v>
      </c>
      <c r="R203" s="4"/>
      <c r="S203" s="1">
        <f>IF(P203="",0,1)</f>
        <v>0</v>
      </c>
      <c r="T203" s="1">
        <f>IF(B203="126",1,0)</f>
        <v>0</v>
      </c>
    </row>
    <row r="204" spans="1:20" ht="21" customHeight="1" x14ac:dyDescent="0.25">
      <c r="A204" s="4" t="s">
        <v>964</v>
      </c>
      <c r="B204" s="4" t="s">
        <v>11</v>
      </c>
      <c r="C204" s="5" t="s">
        <v>23</v>
      </c>
      <c r="D204" s="5" t="s">
        <v>23</v>
      </c>
      <c r="E204" s="5" t="s">
        <v>22</v>
      </c>
      <c r="F204" s="5" t="s">
        <v>23</v>
      </c>
      <c r="G204" s="5" t="s">
        <v>22</v>
      </c>
      <c r="H204" s="5" t="s">
        <v>5</v>
      </c>
      <c r="I204" s="5" t="s">
        <v>5</v>
      </c>
      <c r="J204" s="5" t="s">
        <v>23</v>
      </c>
      <c r="K204" s="5" t="s">
        <v>199</v>
      </c>
      <c r="L204" s="5" t="s">
        <v>724</v>
      </c>
      <c r="M204" s="5" t="s">
        <v>1045</v>
      </c>
      <c r="N204" s="10">
        <v>19</v>
      </c>
      <c r="O204" s="10">
        <v>5664</v>
      </c>
      <c r="P204" s="5"/>
      <c r="Q204" s="4" t="s">
        <v>353</v>
      </c>
      <c r="R204" s="4"/>
      <c r="S204" s="1">
        <f>IF(P204="",0,1)</f>
        <v>0</v>
      </c>
      <c r="T204" s="1">
        <f>IF(B204="126",1,0)</f>
        <v>0</v>
      </c>
    </row>
    <row r="205" spans="1:20" ht="21" customHeight="1" x14ac:dyDescent="0.25">
      <c r="A205" s="4" t="s">
        <v>965</v>
      </c>
      <c r="B205" s="4" t="s">
        <v>11</v>
      </c>
      <c r="C205" s="5" t="s">
        <v>23</v>
      </c>
      <c r="D205" s="5" t="s">
        <v>23</v>
      </c>
      <c r="E205" s="5" t="s">
        <v>22</v>
      </c>
      <c r="F205" s="5" t="s">
        <v>23</v>
      </c>
      <c r="G205" s="5" t="s">
        <v>22</v>
      </c>
      <c r="H205" s="5" t="s">
        <v>5</v>
      </c>
      <c r="I205" s="5" t="s">
        <v>5</v>
      </c>
      <c r="J205" s="5" t="s">
        <v>23</v>
      </c>
      <c r="K205" s="5" t="s">
        <v>200</v>
      </c>
      <c r="L205" s="5" t="s">
        <v>725</v>
      </c>
      <c r="M205" s="5" t="s">
        <v>726</v>
      </c>
      <c r="N205" s="10">
        <v>21</v>
      </c>
      <c r="O205" s="10">
        <v>6230</v>
      </c>
      <c r="P205" s="5"/>
      <c r="Q205" s="4" t="s">
        <v>353</v>
      </c>
      <c r="R205" s="4"/>
      <c r="S205" s="1">
        <f>IF(P205="",0,1)</f>
        <v>0</v>
      </c>
      <c r="T205" s="1">
        <f>IF(B205="126",1,0)</f>
        <v>0</v>
      </c>
    </row>
    <row r="206" spans="1:20" ht="21" customHeight="1" x14ac:dyDescent="0.25">
      <c r="A206" s="4" t="s">
        <v>966</v>
      </c>
      <c r="B206" s="4" t="s">
        <v>11</v>
      </c>
      <c r="C206" s="5" t="s">
        <v>23</v>
      </c>
      <c r="D206" s="5" t="s">
        <v>23</v>
      </c>
      <c r="E206" s="5" t="s">
        <v>22</v>
      </c>
      <c r="F206" s="5" t="s">
        <v>23</v>
      </c>
      <c r="G206" s="5" t="s">
        <v>22</v>
      </c>
      <c r="H206" s="5" t="s">
        <v>5</v>
      </c>
      <c r="I206" s="5" t="s">
        <v>5</v>
      </c>
      <c r="J206" s="5" t="s">
        <v>23</v>
      </c>
      <c r="K206" s="5" t="s">
        <v>201</v>
      </c>
      <c r="L206" s="5" t="s">
        <v>727</v>
      </c>
      <c r="M206" s="5" t="s">
        <v>728</v>
      </c>
      <c r="N206" s="10">
        <v>14</v>
      </c>
      <c r="O206" s="10">
        <v>4167</v>
      </c>
      <c r="P206" s="5"/>
      <c r="Q206" s="4" t="s">
        <v>353</v>
      </c>
      <c r="R206" s="4"/>
      <c r="S206" s="1">
        <f>IF(P206="",0,1)</f>
        <v>0</v>
      </c>
      <c r="T206" s="1">
        <f>IF(B206="126",1,0)</f>
        <v>0</v>
      </c>
    </row>
    <row r="207" spans="1:20" ht="21" customHeight="1" x14ac:dyDescent="0.25">
      <c r="A207" s="4" t="s">
        <v>967</v>
      </c>
      <c r="B207" s="4" t="s">
        <v>11</v>
      </c>
      <c r="C207" s="5" t="s">
        <v>23</v>
      </c>
      <c r="D207" s="5" t="s">
        <v>23</v>
      </c>
      <c r="E207" s="5" t="s">
        <v>22</v>
      </c>
      <c r="F207" s="5" t="s">
        <v>23</v>
      </c>
      <c r="G207" s="5" t="s">
        <v>22</v>
      </c>
      <c r="H207" s="5" t="s">
        <v>5</v>
      </c>
      <c r="I207" s="5" t="s">
        <v>5</v>
      </c>
      <c r="J207" s="5" t="s">
        <v>23</v>
      </c>
      <c r="K207" s="5" t="s">
        <v>202</v>
      </c>
      <c r="L207" s="5" t="s">
        <v>729</v>
      </c>
      <c r="M207" s="5" t="s">
        <v>730</v>
      </c>
      <c r="N207" s="10">
        <v>10</v>
      </c>
      <c r="O207" s="10">
        <v>2930</v>
      </c>
      <c r="P207" s="5"/>
      <c r="Q207" s="4" t="s">
        <v>353</v>
      </c>
      <c r="R207" s="4"/>
      <c r="S207" s="1">
        <f>IF(P207="",0,1)</f>
        <v>0</v>
      </c>
      <c r="T207" s="1">
        <f>IF(B207="126",1,0)</f>
        <v>0</v>
      </c>
    </row>
    <row r="208" spans="1:20" ht="21" customHeight="1" x14ac:dyDescent="0.25">
      <c r="A208" s="4" t="s">
        <v>447</v>
      </c>
      <c r="B208" s="4" t="s">
        <v>11</v>
      </c>
      <c r="C208" s="5" t="s">
        <v>23</v>
      </c>
      <c r="D208" s="5" t="s">
        <v>23</v>
      </c>
      <c r="E208" s="5" t="s">
        <v>22</v>
      </c>
      <c r="F208" s="5" t="s">
        <v>23</v>
      </c>
      <c r="G208" s="5" t="s">
        <v>22</v>
      </c>
      <c r="H208" s="5" t="s">
        <v>5</v>
      </c>
      <c r="I208" s="5" t="s">
        <v>5</v>
      </c>
      <c r="J208" s="5" t="s">
        <v>23</v>
      </c>
      <c r="K208" s="5" t="s">
        <v>203</v>
      </c>
      <c r="L208" s="5" t="s">
        <v>731</v>
      </c>
      <c r="M208" s="5" t="s">
        <v>385</v>
      </c>
      <c r="N208" s="10">
        <v>14</v>
      </c>
      <c r="O208" s="10">
        <v>4181</v>
      </c>
      <c r="P208" s="5"/>
      <c r="Q208" s="4" t="s">
        <v>353</v>
      </c>
      <c r="R208" s="4"/>
      <c r="S208" s="1">
        <f>IF(P208="",0,1)</f>
        <v>0</v>
      </c>
      <c r="T208" s="1">
        <f>IF(B208="126",1,0)</f>
        <v>0</v>
      </c>
    </row>
    <row r="209" spans="1:20" ht="21" customHeight="1" x14ac:dyDescent="0.25">
      <c r="A209" s="4" t="s">
        <v>267</v>
      </c>
      <c r="B209" s="4" t="s">
        <v>11</v>
      </c>
      <c r="C209" s="5" t="s">
        <v>23</v>
      </c>
      <c r="D209" s="5" t="s">
        <v>23</v>
      </c>
      <c r="E209" s="5" t="s">
        <v>22</v>
      </c>
      <c r="F209" s="5" t="s">
        <v>23</v>
      </c>
      <c r="G209" s="5" t="s">
        <v>22</v>
      </c>
      <c r="H209" s="5" t="s">
        <v>5</v>
      </c>
      <c r="I209" s="5" t="s">
        <v>5</v>
      </c>
      <c r="J209" s="5" t="s">
        <v>23</v>
      </c>
      <c r="K209" s="5" t="s">
        <v>204</v>
      </c>
      <c r="L209" s="5" t="s">
        <v>732</v>
      </c>
      <c r="M209" s="5" t="s">
        <v>386</v>
      </c>
      <c r="N209" s="10">
        <v>17</v>
      </c>
      <c r="O209" s="10">
        <v>5078</v>
      </c>
      <c r="P209" s="5"/>
      <c r="Q209" s="4" t="s">
        <v>353</v>
      </c>
      <c r="R209" s="4"/>
      <c r="S209" s="1">
        <f>IF(P209="",0,1)</f>
        <v>0</v>
      </c>
      <c r="T209" s="1">
        <f>IF(B209="126",1,0)</f>
        <v>0</v>
      </c>
    </row>
    <row r="210" spans="1:20" ht="21" customHeight="1" x14ac:dyDescent="0.25">
      <c r="A210" s="4" t="s">
        <v>968</v>
      </c>
      <c r="B210" s="4" t="s">
        <v>11</v>
      </c>
      <c r="C210" s="5" t="s">
        <v>23</v>
      </c>
      <c r="D210" s="5" t="s">
        <v>23</v>
      </c>
      <c r="E210" s="5" t="s">
        <v>22</v>
      </c>
      <c r="F210" s="5" t="s">
        <v>23</v>
      </c>
      <c r="G210" s="5" t="s">
        <v>22</v>
      </c>
      <c r="H210" s="5" t="s">
        <v>5</v>
      </c>
      <c r="I210" s="5" t="s">
        <v>5</v>
      </c>
      <c r="J210" s="5" t="s">
        <v>23</v>
      </c>
      <c r="K210" s="5" t="s">
        <v>205</v>
      </c>
      <c r="L210" s="5" t="s">
        <v>733</v>
      </c>
      <c r="M210" s="5" t="s">
        <v>734</v>
      </c>
      <c r="N210" s="10">
        <v>19</v>
      </c>
      <c r="O210" s="10">
        <v>5665</v>
      </c>
      <c r="P210" s="5"/>
      <c r="Q210" s="4" t="s">
        <v>353</v>
      </c>
      <c r="R210" s="4"/>
      <c r="S210" s="1">
        <f>IF(P210="",0,1)</f>
        <v>0</v>
      </c>
      <c r="T210" s="1">
        <f>IF(B210="126",1,0)</f>
        <v>0</v>
      </c>
    </row>
    <row r="211" spans="1:20" ht="21" customHeight="1" x14ac:dyDescent="0.25">
      <c r="A211" s="4" t="s">
        <v>969</v>
      </c>
      <c r="B211" s="4" t="s">
        <v>11</v>
      </c>
      <c r="C211" s="5" t="s">
        <v>23</v>
      </c>
      <c r="D211" s="5" t="s">
        <v>23</v>
      </c>
      <c r="E211" s="5" t="s">
        <v>22</v>
      </c>
      <c r="F211" s="5" t="s">
        <v>23</v>
      </c>
      <c r="G211" s="5" t="s">
        <v>22</v>
      </c>
      <c r="H211" s="5" t="s">
        <v>5</v>
      </c>
      <c r="I211" s="5" t="s">
        <v>5</v>
      </c>
      <c r="J211" s="5" t="s">
        <v>23</v>
      </c>
      <c r="K211" s="5" t="s">
        <v>206</v>
      </c>
      <c r="L211" s="5" t="s">
        <v>735</v>
      </c>
      <c r="M211" s="5" t="s">
        <v>387</v>
      </c>
      <c r="N211" s="10">
        <v>7</v>
      </c>
      <c r="O211" s="10">
        <v>2030</v>
      </c>
      <c r="P211" s="5"/>
      <c r="Q211" s="4" t="s">
        <v>353</v>
      </c>
      <c r="R211" s="4"/>
      <c r="S211" s="1">
        <f>IF(P211="",0,1)</f>
        <v>0</v>
      </c>
      <c r="T211" s="1">
        <f>IF(B211="126",1,0)</f>
        <v>0</v>
      </c>
    </row>
    <row r="212" spans="1:20" ht="21" customHeight="1" x14ac:dyDescent="0.25">
      <c r="A212" s="4" t="s">
        <v>970</v>
      </c>
      <c r="B212" s="4" t="s">
        <v>11</v>
      </c>
      <c r="C212" s="5" t="s">
        <v>23</v>
      </c>
      <c r="D212" s="5" t="s">
        <v>23</v>
      </c>
      <c r="E212" s="5" t="s">
        <v>22</v>
      </c>
      <c r="F212" s="5" t="s">
        <v>23</v>
      </c>
      <c r="G212" s="5" t="s">
        <v>22</v>
      </c>
      <c r="H212" s="5" t="s">
        <v>5</v>
      </c>
      <c r="I212" s="5" t="s">
        <v>5</v>
      </c>
      <c r="J212" s="5" t="s">
        <v>23</v>
      </c>
      <c r="K212" s="5" t="s">
        <v>207</v>
      </c>
      <c r="L212" s="5" t="s">
        <v>208</v>
      </c>
      <c r="M212" s="5" t="s">
        <v>1046</v>
      </c>
      <c r="N212" s="10">
        <v>19</v>
      </c>
      <c r="O212" s="10">
        <v>5686</v>
      </c>
      <c r="P212" s="5"/>
      <c r="Q212" s="4" t="s">
        <v>353</v>
      </c>
      <c r="R212" s="4"/>
      <c r="S212" s="1">
        <f>IF(P212="",0,1)</f>
        <v>0</v>
      </c>
      <c r="T212" s="1">
        <f>IF(B212="126",1,0)</f>
        <v>0</v>
      </c>
    </row>
    <row r="213" spans="1:20" ht="21" customHeight="1" x14ac:dyDescent="0.25">
      <c r="A213" s="4" t="s">
        <v>971</v>
      </c>
      <c r="B213" s="4" t="s">
        <v>11</v>
      </c>
      <c r="C213" s="5" t="s">
        <v>23</v>
      </c>
      <c r="D213" s="5" t="s">
        <v>23</v>
      </c>
      <c r="E213" s="5" t="s">
        <v>22</v>
      </c>
      <c r="F213" s="5" t="s">
        <v>23</v>
      </c>
      <c r="G213" s="5" t="s">
        <v>22</v>
      </c>
      <c r="H213" s="5" t="s">
        <v>5</v>
      </c>
      <c r="I213" s="5" t="s">
        <v>5</v>
      </c>
      <c r="J213" s="5" t="s">
        <v>23</v>
      </c>
      <c r="K213" s="5" t="s">
        <v>209</v>
      </c>
      <c r="L213" s="5" t="s">
        <v>736</v>
      </c>
      <c r="M213" s="5" t="s">
        <v>330</v>
      </c>
      <c r="N213" s="10">
        <v>10</v>
      </c>
      <c r="O213" s="10">
        <v>2930</v>
      </c>
      <c r="P213" s="5"/>
      <c r="Q213" s="4" t="s">
        <v>353</v>
      </c>
      <c r="R213" s="4"/>
      <c r="S213" s="1">
        <f>IF(P213="",0,1)</f>
        <v>0</v>
      </c>
      <c r="T213" s="1">
        <f>IF(B213="126",1,0)</f>
        <v>0</v>
      </c>
    </row>
    <row r="214" spans="1:20" ht="21" customHeight="1" x14ac:dyDescent="0.25">
      <c r="A214" s="4" t="s">
        <v>972</v>
      </c>
      <c r="B214" s="4" t="s">
        <v>11</v>
      </c>
      <c r="C214" s="5" t="s">
        <v>23</v>
      </c>
      <c r="D214" s="5" t="s">
        <v>23</v>
      </c>
      <c r="E214" s="5" t="s">
        <v>22</v>
      </c>
      <c r="F214" s="5" t="s">
        <v>23</v>
      </c>
      <c r="G214" s="5" t="s">
        <v>22</v>
      </c>
      <c r="H214" s="5" t="s">
        <v>5</v>
      </c>
      <c r="I214" s="5" t="s">
        <v>5</v>
      </c>
      <c r="J214" s="5" t="s">
        <v>23</v>
      </c>
      <c r="K214" s="5" t="s">
        <v>737</v>
      </c>
      <c r="L214" s="5" t="s">
        <v>738</v>
      </c>
      <c r="M214" s="5" t="s">
        <v>739</v>
      </c>
      <c r="N214" s="10">
        <v>4</v>
      </c>
      <c r="O214" s="10">
        <v>1183</v>
      </c>
      <c r="P214" s="5"/>
      <c r="Q214" s="4" t="s">
        <v>353</v>
      </c>
      <c r="R214" s="4"/>
      <c r="S214" s="1">
        <f>IF(P214="",0,1)</f>
        <v>0</v>
      </c>
      <c r="T214" s="1">
        <f>IF(B214="126",1,0)</f>
        <v>0</v>
      </c>
    </row>
    <row r="215" spans="1:20" ht="21" customHeight="1" x14ac:dyDescent="0.25">
      <c r="A215" s="4" t="s">
        <v>973</v>
      </c>
      <c r="B215" s="4" t="s">
        <v>11</v>
      </c>
      <c r="C215" s="5" t="s">
        <v>23</v>
      </c>
      <c r="D215" s="5" t="s">
        <v>23</v>
      </c>
      <c r="E215" s="5" t="s">
        <v>22</v>
      </c>
      <c r="F215" s="5" t="s">
        <v>23</v>
      </c>
      <c r="G215" s="5" t="s">
        <v>22</v>
      </c>
      <c r="H215" s="5" t="s">
        <v>5</v>
      </c>
      <c r="I215" s="5" t="s">
        <v>5</v>
      </c>
      <c r="J215" s="5" t="s">
        <v>23</v>
      </c>
      <c r="K215" s="5" t="s">
        <v>740</v>
      </c>
      <c r="L215" s="5" t="s">
        <v>741</v>
      </c>
      <c r="M215" s="5" t="s">
        <v>1047</v>
      </c>
      <c r="N215" s="10">
        <v>6</v>
      </c>
      <c r="O215" s="10">
        <v>1756</v>
      </c>
      <c r="P215" s="5"/>
      <c r="Q215" s="4" t="s">
        <v>353</v>
      </c>
      <c r="R215" s="4"/>
      <c r="S215" s="1">
        <f>IF(P215="",0,1)</f>
        <v>0</v>
      </c>
      <c r="T215" s="1">
        <f>IF(B215="126",1,0)</f>
        <v>0</v>
      </c>
    </row>
    <row r="216" spans="1:20" ht="21" customHeight="1" x14ac:dyDescent="0.25">
      <c r="A216" s="4" t="s">
        <v>974</v>
      </c>
      <c r="B216" s="4" t="s">
        <v>11</v>
      </c>
      <c r="C216" s="5" t="s">
        <v>23</v>
      </c>
      <c r="D216" s="5" t="s">
        <v>23</v>
      </c>
      <c r="E216" s="5" t="s">
        <v>22</v>
      </c>
      <c r="F216" s="5" t="s">
        <v>23</v>
      </c>
      <c r="G216" s="5" t="s">
        <v>22</v>
      </c>
      <c r="H216" s="5" t="s">
        <v>5</v>
      </c>
      <c r="I216" s="5" t="s">
        <v>5</v>
      </c>
      <c r="J216" s="5" t="s">
        <v>23</v>
      </c>
      <c r="K216" s="5" t="s">
        <v>210</v>
      </c>
      <c r="L216" s="5" t="s">
        <v>742</v>
      </c>
      <c r="M216" s="5" t="s">
        <v>331</v>
      </c>
      <c r="N216" s="10">
        <v>8</v>
      </c>
      <c r="O216" s="10">
        <v>2330</v>
      </c>
      <c r="P216" s="5"/>
      <c r="Q216" s="4" t="s">
        <v>353</v>
      </c>
      <c r="R216" s="4"/>
      <c r="S216" s="1">
        <f>IF(P216="",0,1)</f>
        <v>0</v>
      </c>
      <c r="T216" s="1">
        <f>IF(B216="126",1,0)</f>
        <v>0</v>
      </c>
    </row>
    <row r="217" spans="1:20" ht="21" customHeight="1" x14ac:dyDescent="0.25">
      <c r="A217" s="4" t="s">
        <v>975</v>
      </c>
      <c r="B217" s="4" t="s">
        <v>11</v>
      </c>
      <c r="C217" s="5" t="s">
        <v>23</v>
      </c>
      <c r="D217" s="5" t="s">
        <v>23</v>
      </c>
      <c r="E217" s="5" t="s">
        <v>22</v>
      </c>
      <c r="F217" s="5" t="s">
        <v>23</v>
      </c>
      <c r="G217" s="5" t="s">
        <v>22</v>
      </c>
      <c r="H217" s="5" t="s">
        <v>5</v>
      </c>
      <c r="I217" s="5" t="s">
        <v>5</v>
      </c>
      <c r="J217" s="5" t="s">
        <v>23</v>
      </c>
      <c r="K217" s="5" t="s">
        <v>743</v>
      </c>
      <c r="L217" s="5" t="s">
        <v>744</v>
      </c>
      <c r="M217" s="5" t="s">
        <v>745</v>
      </c>
      <c r="N217" s="10">
        <v>4</v>
      </c>
      <c r="O217" s="10">
        <v>1130</v>
      </c>
      <c r="P217" s="5"/>
      <c r="Q217" s="4" t="s">
        <v>353</v>
      </c>
      <c r="R217" s="4"/>
      <c r="S217" s="1">
        <f>IF(P217="",0,1)</f>
        <v>0</v>
      </c>
      <c r="T217" s="1">
        <f>IF(B217="126",1,0)</f>
        <v>0</v>
      </c>
    </row>
    <row r="218" spans="1:20" ht="21" customHeight="1" x14ac:dyDescent="0.25">
      <c r="A218" s="4" t="s">
        <v>976</v>
      </c>
      <c r="B218" s="4" t="s">
        <v>11</v>
      </c>
      <c r="C218" s="5" t="s">
        <v>23</v>
      </c>
      <c r="D218" s="5" t="s">
        <v>23</v>
      </c>
      <c r="E218" s="5" t="s">
        <v>22</v>
      </c>
      <c r="F218" s="5" t="s">
        <v>23</v>
      </c>
      <c r="G218" s="5" t="s">
        <v>22</v>
      </c>
      <c r="H218" s="5" t="s">
        <v>5</v>
      </c>
      <c r="I218" s="5" t="s">
        <v>5</v>
      </c>
      <c r="J218" s="5" t="s">
        <v>23</v>
      </c>
      <c r="K218" s="5" t="s">
        <v>746</v>
      </c>
      <c r="L218" s="5" t="s">
        <v>747</v>
      </c>
      <c r="M218" s="5" t="s">
        <v>748</v>
      </c>
      <c r="N218" s="10">
        <v>4</v>
      </c>
      <c r="O218" s="10">
        <v>1186</v>
      </c>
      <c r="P218" s="5"/>
      <c r="Q218" s="4" t="s">
        <v>353</v>
      </c>
      <c r="R218" s="4"/>
      <c r="S218" s="1">
        <f>IF(P218="",0,1)</f>
        <v>0</v>
      </c>
      <c r="T218" s="1">
        <f>IF(B218="126",1,0)</f>
        <v>0</v>
      </c>
    </row>
    <row r="219" spans="1:20" ht="21" customHeight="1" x14ac:dyDescent="0.25">
      <c r="A219" s="4" t="s">
        <v>977</v>
      </c>
      <c r="B219" s="4" t="s">
        <v>11</v>
      </c>
      <c r="C219" s="5" t="s">
        <v>23</v>
      </c>
      <c r="D219" s="5" t="s">
        <v>23</v>
      </c>
      <c r="E219" s="5" t="s">
        <v>22</v>
      </c>
      <c r="F219" s="5" t="s">
        <v>23</v>
      </c>
      <c r="G219" s="5" t="s">
        <v>22</v>
      </c>
      <c r="H219" s="5" t="s">
        <v>5</v>
      </c>
      <c r="I219" s="5" t="s">
        <v>5</v>
      </c>
      <c r="J219" s="5" t="s">
        <v>23</v>
      </c>
      <c r="K219" s="5" t="s">
        <v>211</v>
      </c>
      <c r="L219" s="5" t="s">
        <v>749</v>
      </c>
      <c r="M219" s="5" t="s">
        <v>750</v>
      </c>
      <c r="N219" s="10">
        <v>8</v>
      </c>
      <c r="O219" s="10">
        <v>2349</v>
      </c>
      <c r="P219" s="5"/>
      <c r="Q219" s="4" t="s">
        <v>353</v>
      </c>
      <c r="R219" s="4"/>
      <c r="S219" s="1">
        <f>IF(P219="",0,1)</f>
        <v>0</v>
      </c>
      <c r="T219" s="1">
        <f>IF(B219="126",1,0)</f>
        <v>0</v>
      </c>
    </row>
    <row r="220" spans="1:20" ht="21" customHeight="1" x14ac:dyDescent="0.25">
      <c r="A220" s="4" t="s">
        <v>978</v>
      </c>
      <c r="B220" s="4" t="s">
        <v>11</v>
      </c>
      <c r="C220" s="5" t="s">
        <v>23</v>
      </c>
      <c r="D220" s="5" t="s">
        <v>23</v>
      </c>
      <c r="E220" s="5" t="s">
        <v>22</v>
      </c>
      <c r="F220" s="5" t="s">
        <v>23</v>
      </c>
      <c r="G220" s="5" t="s">
        <v>22</v>
      </c>
      <c r="H220" s="5" t="s">
        <v>5</v>
      </c>
      <c r="I220" s="5" t="s">
        <v>5</v>
      </c>
      <c r="J220" s="5" t="s">
        <v>23</v>
      </c>
      <c r="K220" s="5" t="s">
        <v>751</v>
      </c>
      <c r="L220" s="5" t="s">
        <v>752</v>
      </c>
      <c r="M220" s="5" t="s">
        <v>1048</v>
      </c>
      <c r="N220" s="10">
        <v>3</v>
      </c>
      <c r="O220" s="10">
        <v>897</v>
      </c>
      <c r="P220" s="5"/>
      <c r="Q220" s="4" t="s">
        <v>353</v>
      </c>
      <c r="R220" s="4"/>
      <c r="S220" s="1">
        <f>IF(P220="",0,1)</f>
        <v>0</v>
      </c>
      <c r="T220" s="1">
        <f>IF(B220="126",1,0)</f>
        <v>0</v>
      </c>
    </row>
    <row r="221" spans="1:20" ht="21" customHeight="1" x14ac:dyDescent="0.25">
      <c r="A221" s="4" t="s">
        <v>268</v>
      </c>
      <c r="B221" s="4" t="s">
        <v>11</v>
      </c>
      <c r="C221" s="5" t="s">
        <v>23</v>
      </c>
      <c r="D221" s="5" t="s">
        <v>23</v>
      </c>
      <c r="E221" s="5" t="s">
        <v>22</v>
      </c>
      <c r="F221" s="5" t="s">
        <v>23</v>
      </c>
      <c r="G221" s="5" t="s">
        <v>22</v>
      </c>
      <c r="H221" s="5" t="s">
        <v>5</v>
      </c>
      <c r="I221" s="5" t="s">
        <v>5</v>
      </c>
      <c r="J221" s="5" t="s">
        <v>23</v>
      </c>
      <c r="K221" s="5" t="s">
        <v>212</v>
      </c>
      <c r="L221" s="5" t="s">
        <v>351</v>
      </c>
      <c r="M221" s="5" t="s">
        <v>213</v>
      </c>
      <c r="N221" s="10">
        <v>7</v>
      </c>
      <c r="O221" s="10">
        <v>2071</v>
      </c>
      <c r="P221" s="5"/>
      <c r="Q221" s="4" t="s">
        <v>353</v>
      </c>
      <c r="R221" s="4"/>
      <c r="S221" s="1">
        <f>IF(P221="",0,1)</f>
        <v>0</v>
      </c>
      <c r="T221" s="1">
        <f>IF(B221="126",1,0)</f>
        <v>0</v>
      </c>
    </row>
    <row r="222" spans="1:20" ht="21" customHeight="1" x14ac:dyDescent="0.25">
      <c r="A222" s="4" t="s">
        <v>979</v>
      </c>
      <c r="B222" s="4" t="s">
        <v>11</v>
      </c>
      <c r="C222" s="5" t="s">
        <v>23</v>
      </c>
      <c r="D222" s="5" t="s">
        <v>23</v>
      </c>
      <c r="E222" s="5" t="s">
        <v>22</v>
      </c>
      <c r="F222" s="5" t="s">
        <v>23</v>
      </c>
      <c r="G222" s="5" t="s">
        <v>22</v>
      </c>
      <c r="H222" s="5" t="s">
        <v>5</v>
      </c>
      <c r="I222" s="5" t="s">
        <v>5</v>
      </c>
      <c r="J222" s="5" t="s">
        <v>23</v>
      </c>
      <c r="K222" s="5" t="s">
        <v>214</v>
      </c>
      <c r="L222" s="5" t="s">
        <v>753</v>
      </c>
      <c r="M222" s="5" t="s">
        <v>388</v>
      </c>
      <c r="N222" s="10">
        <v>10</v>
      </c>
      <c r="O222" s="10">
        <v>2930</v>
      </c>
      <c r="P222" s="5"/>
      <c r="Q222" s="4" t="s">
        <v>353</v>
      </c>
      <c r="R222" s="4"/>
      <c r="S222" s="1">
        <f>IF(P222="",0,1)</f>
        <v>0</v>
      </c>
      <c r="T222" s="1">
        <f>IF(B222="126",1,0)</f>
        <v>0</v>
      </c>
    </row>
    <row r="223" spans="1:20" ht="21" customHeight="1" x14ac:dyDescent="0.25">
      <c r="A223" s="4" t="s">
        <v>980</v>
      </c>
      <c r="B223" s="4" t="s">
        <v>11</v>
      </c>
      <c r="C223" s="5" t="s">
        <v>23</v>
      </c>
      <c r="D223" s="5" t="s">
        <v>23</v>
      </c>
      <c r="E223" s="5" t="s">
        <v>22</v>
      </c>
      <c r="F223" s="5" t="s">
        <v>23</v>
      </c>
      <c r="G223" s="5" t="s">
        <v>22</v>
      </c>
      <c r="H223" s="5" t="s">
        <v>5</v>
      </c>
      <c r="I223" s="5" t="s">
        <v>5</v>
      </c>
      <c r="J223" s="5" t="s">
        <v>23</v>
      </c>
      <c r="K223" s="5" t="s">
        <v>754</v>
      </c>
      <c r="L223" s="5" t="s">
        <v>755</v>
      </c>
      <c r="M223" s="5" t="s">
        <v>756</v>
      </c>
      <c r="N223" s="10">
        <v>5</v>
      </c>
      <c r="O223" s="10">
        <v>1430</v>
      </c>
      <c r="P223" s="5"/>
      <c r="Q223" s="4" t="s">
        <v>353</v>
      </c>
      <c r="R223" s="4"/>
      <c r="S223" s="1">
        <f>IF(P223="",0,1)</f>
        <v>0</v>
      </c>
      <c r="T223" s="1">
        <f>IF(B223="126",1,0)</f>
        <v>0</v>
      </c>
    </row>
    <row r="224" spans="1:20" ht="21" customHeight="1" x14ac:dyDescent="0.25">
      <c r="A224" s="4" t="s">
        <v>981</v>
      </c>
      <c r="B224" s="4" t="s">
        <v>11</v>
      </c>
      <c r="C224" s="5" t="s">
        <v>23</v>
      </c>
      <c r="D224" s="5" t="s">
        <v>23</v>
      </c>
      <c r="E224" s="5" t="s">
        <v>22</v>
      </c>
      <c r="F224" s="5" t="s">
        <v>23</v>
      </c>
      <c r="G224" s="5" t="s">
        <v>22</v>
      </c>
      <c r="H224" s="5" t="s">
        <v>5</v>
      </c>
      <c r="I224" s="5" t="s">
        <v>5</v>
      </c>
      <c r="J224" s="5" t="s">
        <v>23</v>
      </c>
      <c r="K224" s="5" t="s">
        <v>757</v>
      </c>
      <c r="L224" s="5" t="s">
        <v>758</v>
      </c>
      <c r="M224" s="5" t="s">
        <v>759</v>
      </c>
      <c r="N224" s="10">
        <v>4</v>
      </c>
      <c r="O224" s="10">
        <v>1193</v>
      </c>
      <c r="P224" s="5"/>
      <c r="Q224" s="4" t="s">
        <v>353</v>
      </c>
      <c r="R224" s="4"/>
      <c r="S224" s="1">
        <f>IF(P224="",0,1)</f>
        <v>0</v>
      </c>
      <c r="T224" s="1">
        <f>IF(B224="126",1,0)</f>
        <v>0</v>
      </c>
    </row>
    <row r="225" spans="1:20" ht="21" customHeight="1" x14ac:dyDescent="0.25">
      <c r="A225" s="4" t="s">
        <v>982</v>
      </c>
      <c r="B225" s="4" t="s">
        <v>11</v>
      </c>
      <c r="C225" s="5" t="s">
        <v>23</v>
      </c>
      <c r="D225" s="5" t="s">
        <v>23</v>
      </c>
      <c r="E225" s="5" t="s">
        <v>22</v>
      </c>
      <c r="F225" s="5" t="s">
        <v>23</v>
      </c>
      <c r="G225" s="5" t="s">
        <v>22</v>
      </c>
      <c r="H225" s="5" t="s">
        <v>5</v>
      </c>
      <c r="I225" s="5" t="s">
        <v>5</v>
      </c>
      <c r="J225" s="5" t="s">
        <v>23</v>
      </c>
      <c r="K225" s="5" t="s">
        <v>215</v>
      </c>
      <c r="L225" s="5" t="s">
        <v>216</v>
      </c>
      <c r="M225" s="5" t="s">
        <v>389</v>
      </c>
      <c r="N225" s="10">
        <v>3</v>
      </c>
      <c r="O225" s="10">
        <v>897</v>
      </c>
      <c r="P225" s="5"/>
      <c r="Q225" s="4" t="s">
        <v>353</v>
      </c>
      <c r="R225" s="4"/>
      <c r="S225" s="1">
        <f>IF(P225="",0,1)</f>
        <v>0</v>
      </c>
      <c r="T225" s="1">
        <f>IF(B225="126",1,0)</f>
        <v>0</v>
      </c>
    </row>
    <row r="226" spans="1:20" ht="21" customHeight="1" x14ac:dyDescent="0.25">
      <c r="A226" s="4" t="s">
        <v>983</v>
      </c>
      <c r="B226" s="4" t="s">
        <v>11</v>
      </c>
      <c r="C226" s="5" t="s">
        <v>23</v>
      </c>
      <c r="D226" s="5" t="s">
        <v>23</v>
      </c>
      <c r="E226" s="5" t="s">
        <v>22</v>
      </c>
      <c r="F226" s="5" t="s">
        <v>23</v>
      </c>
      <c r="G226" s="5" t="s">
        <v>22</v>
      </c>
      <c r="H226" s="5" t="s">
        <v>5</v>
      </c>
      <c r="I226" s="5" t="s">
        <v>5</v>
      </c>
      <c r="J226" s="5" t="s">
        <v>23</v>
      </c>
      <c r="K226" s="5" t="s">
        <v>217</v>
      </c>
      <c r="L226" s="5" t="s">
        <v>218</v>
      </c>
      <c r="M226" s="5" t="s">
        <v>760</v>
      </c>
      <c r="N226" s="10">
        <v>14</v>
      </c>
      <c r="O226" s="10">
        <v>4179</v>
      </c>
      <c r="P226" s="5"/>
      <c r="Q226" s="4" t="s">
        <v>353</v>
      </c>
      <c r="R226" s="4"/>
      <c r="S226" s="1">
        <f>IF(P226="",0,1)</f>
        <v>0</v>
      </c>
      <c r="T226" s="1">
        <f>IF(B226="126",1,0)</f>
        <v>0</v>
      </c>
    </row>
    <row r="227" spans="1:20" ht="21" customHeight="1" x14ac:dyDescent="0.25">
      <c r="A227" s="4" t="s">
        <v>984</v>
      </c>
      <c r="B227" s="4" t="s">
        <v>11</v>
      </c>
      <c r="C227" s="5" t="s">
        <v>23</v>
      </c>
      <c r="D227" s="5" t="s">
        <v>23</v>
      </c>
      <c r="E227" s="5" t="s">
        <v>22</v>
      </c>
      <c r="F227" s="5" t="s">
        <v>23</v>
      </c>
      <c r="G227" s="5" t="s">
        <v>22</v>
      </c>
      <c r="H227" s="5" t="s">
        <v>5</v>
      </c>
      <c r="I227" s="5" t="s">
        <v>5</v>
      </c>
      <c r="J227" s="5" t="s">
        <v>23</v>
      </c>
      <c r="K227" s="5" t="s">
        <v>219</v>
      </c>
      <c r="L227" s="5" t="s">
        <v>761</v>
      </c>
      <c r="M227" s="5" t="s">
        <v>762</v>
      </c>
      <c r="N227" s="10">
        <v>13</v>
      </c>
      <c r="O227" s="10">
        <v>3892</v>
      </c>
      <c r="P227" s="5"/>
      <c r="Q227" s="4" t="s">
        <v>353</v>
      </c>
      <c r="R227" s="4"/>
      <c r="S227" s="1">
        <f>IF(P227="",0,1)</f>
        <v>0</v>
      </c>
      <c r="T227" s="1">
        <f>IF(B227="126",1,0)</f>
        <v>0</v>
      </c>
    </row>
    <row r="228" spans="1:20" ht="21" customHeight="1" x14ac:dyDescent="0.25">
      <c r="A228" s="4" t="s">
        <v>985</v>
      </c>
      <c r="B228" s="4" t="s">
        <v>11</v>
      </c>
      <c r="C228" s="5" t="s">
        <v>23</v>
      </c>
      <c r="D228" s="5" t="s">
        <v>23</v>
      </c>
      <c r="E228" s="5" t="s">
        <v>22</v>
      </c>
      <c r="F228" s="5" t="s">
        <v>23</v>
      </c>
      <c r="G228" s="5" t="s">
        <v>22</v>
      </c>
      <c r="H228" s="5" t="s">
        <v>5</v>
      </c>
      <c r="I228" s="5" t="s">
        <v>5</v>
      </c>
      <c r="J228" s="5" t="s">
        <v>23</v>
      </c>
      <c r="K228" s="5" t="s">
        <v>763</v>
      </c>
      <c r="L228" s="5" t="s">
        <v>764</v>
      </c>
      <c r="M228" s="5" t="s">
        <v>765</v>
      </c>
      <c r="N228" s="10">
        <v>5</v>
      </c>
      <c r="O228" s="10">
        <v>1487</v>
      </c>
      <c r="P228" s="5"/>
      <c r="Q228" s="4" t="s">
        <v>353</v>
      </c>
      <c r="R228" s="4"/>
      <c r="S228" s="1">
        <f>IF(P228="",0,1)</f>
        <v>0</v>
      </c>
      <c r="T228" s="1">
        <f>IF(B228="126",1,0)</f>
        <v>0</v>
      </c>
    </row>
    <row r="229" spans="1:20" ht="21" customHeight="1" x14ac:dyDescent="0.25">
      <c r="A229" s="4" t="s">
        <v>986</v>
      </c>
      <c r="B229" s="4" t="s">
        <v>11</v>
      </c>
      <c r="C229" s="5" t="s">
        <v>23</v>
      </c>
      <c r="D229" s="5" t="s">
        <v>23</v>
      </c>
      <c r="E229" s="5" t="s">
        <v>22</v>
      </c>
      <c r="F229" s="5" t="s">
        <v>23</v>
      </c>
      <c r="G229" s="5" t="s">
        <v>22</v>
      </c>
      <c r="H229" s="5" t="s">
        <v>5</v>
      </c>
      <c r="I229" s="5" t="s">
        <v>5</v>
      </c>
      <c r="J229" s="5" t="s">
        <v>23</v>
      </c>
      <c r="K229" s="5" t="s">
        <v>220</v>
      </c>
      <c r="L229" s="5" t="s">
        <v>221</v>
      </c>
      <c r="M229" s="5" t="s">
        <v>332</v>
      </c>
      <c r="N229" s="10">
        <v>9</v>
      </c>
      <c r="O229" s="10">
        <v>2637</v>
      </c>
      <c r="P229" s="5"/>
      <c r="Q229" s="4" t="s">
        <v>353</v>
      </c>
      <c r="R229" s="4"/>
      <c r="S229" s="1">
        <f>IF(P229="",0,1)</f>
        <v>0</v>
      </c>
      <c r="T229" s="1">
        <f>IF(B229="126",1,0)</f>
        <v>0</v>
      </c>
    </row>
    <row r="230" spans="1:20" ht="21" customHeight="1" x14ac:dyDescent="0.25">
      <c r="A230" s="4" t="s">
        <v>987</v>
      </c>
      <c r="B230" s="4" t="s">
        <v>11</v>
      </c>
      <c r="C230" s="5" t="s">
        <v>23</v>
      </c>
      <c r="D230" s="5" t="s">
        <v>23</v>
      </c>
      <c r="E230" s="5" t="s">
        <v>22</v>
      </c>
      <c r="F230" s="5" t="s">
        <v>23</v>
      </c>
      <c r="G230" s="5" t="s">
        <v>22</v>
      </c>
      <c r="H230" s="5" t="s">
        <v>5</v>
      </c>
      <c r="I230" s="5" t="s">
        <v>5</v>
      </c>
      <c r="J230" s="5" t="s">
        <v>23</v>
      </c>
      <c r="K230" s="5" t="s">
        <v>222</v>
      </c>
      <c r="L230" s="5" t="s">
        <v>223</v>
      </c>
      <c r="M230" s="5" t="s">
        <v>766</v>
      </c>
      <c r="N230" s="10">
        <v>12</v>
      </c>
      <c r="O230" s="10">
        <v>3547</v>
      </c>
      <c r="P230" s="5"/>
      <c r="Q230" s="4" t="s">
        <v>353</v>
      </c>
      <c r="R230" s="4"/>
      <c r="S230" s="1">
        <f>IF(P230="",0,1)</f>
        <v>0</v>
      </c>
      <c r="T230" s="1">
        <f>IF(B230="126",1,0)</f>
        <v>0</v>
      </c>
    </row>
    <row r="231" spans="1:20" ht="21" customHeight="1" x14ac:dyDescent="0.25">
      <c r="A231" s="4" t="s">
        <v>988</v>
      </c>
      <c r="B231" s="4" t="s">
        <v>11</v>
      </c>
      <c r="C231" s="5" t="s">
        <v>23</v>
      </c>
      <c r="D231" s="5" t="s">
        <v>23</v>
      </c>
      <c r="E231" s="5" t="s">
        <v>22</v>
      </c>
      <c r="F231" s="5" t="s">
        <v>23</v>
      </c>
      <c r="G231" s="5" t="s">
        <v>22</v>
      </c>
      <c r="H231" s="5" t="s">
        <v>5</v>
      </c>
      <c r="I231" s="5" t="s">
        <v>5</v>
      </c>
      <c r="J231" s="5" t="s">
        <v>23</v>
      </c>
      <c r="K231" s="5" t="s">
        <v>224</v>
      </c>
      <c r="L231" s="5" t="s">
        <v>225</v>
      </c>
      <c r="M231" s="5" t="s">
        <v>332</v>
      </c>
      <c r="N231" s="10">
        <v>10</v>
      </c>
      <c r="O231" s="10">
        <v>2938</v>
      </c>
      <c r="P231" s="5"/>
      <c r="Q231" s="4" t="s">
        <v>353</v>
      </c>
      <c r="R231" s="4"/>
      <c r="S231" s="1">
        <f>IF(P231="",0,1)</f>
        <v>0</v>
      </c>
      <c r="T231" s="1">
        <f>IF(B231="126",1,0)</f>
        <v>0</v>
      </c>
    </row>
    <row r="232" spans="1:20" ht="21" customHeight="1" x14ac:dyDescent="0.25">
      <c r="A232" s="4" t="s">
        <v>989</v>
      </c>
      <c r="B232" s="4" t="s">
        <v>11</v>
      </c>
      <c r="C232" s="5" t="s">
        <v>23</v>
      </c>
      <c r="D232" s="5" t="s">
        <v>23</v>
      </c>
      <c r="E232" s="5" t="s">
        <v>22</v>
      </c>
      <c r="F232" s="5" t="s">
        <v>23</v>
      </c>
      <c r="G232" s="5" t="s">
        <v>22</v>
      </c>
      <c r="H232" s="5" t="s">
        <v>5</v>
      </c>
      <c r="I232" s="5" t="s">
        <v>5</v>
      </c>
      <c r="J232" s="5" t="s">
        <v>23</v>
      </c>
      <c r="K232" s="5" t="s">
        <v>226</v>
      </c>
      <c r="L232" s="5" t="s">
        <v>227</v>
      </c>
      <c r="M232" s="5" t="s">
        <v>767</v>
      </c>
      <c r="N232" s="10">
        <v>14</v>
      </c>
      <c r="O232" s="10">
        <v>4130</v>
      </c>
      <c r="P232" s="5"/>
      <c r="Q232" s="4" t="s">
        <v>353</v>
      </c>
      <c r="R232" s="4"/>
      <c r="S232" s="1">
        <f>IF(P232="",0,1)</f>
        <v>0</v>
      </c>
      <c r="T232" s="1">
        <f>IF(B232="126",1,0)</f>
        <v>0</v>
      </c>
    </row>
    <row r="233" spans="1:20" ht="21" customHeight="1" x14ac:dyDescent="0.25">
      <c r="A233" s="4" t="s">
        <v>990</v>
      </c>
      <c r="B233" s="4" t="s">
        <v>11</v>
      </c>
      <c r="C233" s="5" t="s">
        <v>23</v>
      </c>
      <c r="D233" s="5" t="s">
        <v>23</v>
      </c>
      <c r="E233" s="5" t="s">
        <v>22</v>
      </c>
      <c r="F233" s="5" t="s">
        <v>23</v>
      </c>
      <c r="G233" s="5" t="s">
        <v>22</v>
      </c>
      <c r="H233" s="5" t="s">
        <v>5</v>
      </c>
      <c r="I233" s="5" t="s">
        <v>5</v>
      </c>
      <c r="J233" s="5" t="s">
        <v>23</v>
      </c>
      <c r="K233" s="5" t="s">
        <v>228</v>
      </c>
      <c r="L233" s="5" t="s">
        <v>229</v>
      </c>
      <c r="M233" s="5" t="s">
        <v>768</v>
      </c>
      <c r="N233" s="10">
        <v>13</v>
      </c>
      <c r="O233" s="10">
        <v>3834</v>
      </c>
      <c r="P233" s="5"/>
      <c r="Q233" s="4" t="s">
        <v>353</v>
      </c>
      <c r="R233" s="4"/>
      <c r="S233" s="1">
        <f>IF(P233="",0,1)</f>
        <v>0</v>
      </c>
      <c r="T233" s="1">
        <f>IF(B233="126",1,0)</f>
        <v>0</v>
      </c>
    </row>
    <row r="234" spans="1:20" ht="21" customHeight="1" x14ac:dyDescent="0.25">
      <c r="A234" s="4" t="s">
        <v>991</v>
      </c>
      <c r="B234" s="4" t="s">
        <v>11</v>
      </c>
      <c r="C234" s="5" t="s">
        <v>23</v>
      </c>
      <c r="D234" s="5" t="s">
        <v>23</v>
      </c>
      <c r="E234" s="5" t="s">
        <v>22</v>
      </c>
      <c r="F234" s="5" t="s">
        <v>23</v>
      </c>
      <c r="G234" s="5" t="s">
        <v>22</v>
      </c>
      <c r="H234" s="5" t="s">
        <v>5</v>
      </c>
      <c r="I234" s="5" t="s">
        <v>5</v>
      </c>
      <c r="J234" s="5" t="s">
        <v>23</v>
      </c>
      <c r="K234" s="5" t="s">
        <v>230</v>
      </c>
      <c r="L234" s="5" t="s">
        <v>769</v>
      </c>
      <c r="M234" s="5" t="s">
        <v>390</v>
      </c>
      <c r="N234" s="10">
        <v>17</v>
      </c>
      <c r="O234" s="10">
        <v>5030</v>
      </c>
      <c r="P234" s="5"/>
      <c r="Q234" s="4" t="s">
        <v>353</v>
      </c>
      <c r="R234" s="4"/>
      <c r="S234" s="1">
        <f>IF(P234="",0,1)</f>
        <v>0</v>
      </c>
      <c r="T234" s="1">
        <f>IF(B234="126",1,0)</f>
        <v>0</v>
      </c>
    </row>
    <row r="235" spans="1:20" ht="21" customHeight="1" x14ac:dyDescent="0.25">
      <c r="A235" s="4" t="s">
        <v>438</v>
      </c>
      <c r="B235" s="4" t="s">
        <v>11</v>
      </c>
      <c r="C235" s="5" t="s">
        <v>23</v>
      </c>
      <c r="D235" s="5" t="s">
        <v>23</v>
      </c>
      <c r="E235" s="5" t="s">
        <v>22</v>
      </c>
      <c r="F235" s="5" t="s">
        <v>23</v>
      </c>
      <c r="G235" s="5" t="s">
        <v>22</v>
      </c>
      <c r="H235" s="5" t="s">
        <v>5</v>
      </c>
      <c r="I235" s="5" t="s">
        <v>5</v>
      </c>
      <c r="J235" s="5" t="s">
        <v>23</v>
      </c>
      <c r="K235" s="5" t="s">
        <v>231</v>
      </c>
      <c r="L235" s="5" t="s">
        <v>770</v>
      </c>
      <c r="M235" s="5" t="s">
        <v>430</v>
      </c>
      <c r="N235" s="10">
        <v>3</v>
      </c>
      <c r="O235" s="10">
        <v>875</v>
      </c>
      <c r="P235" s="5"/>
      <c r="Q235" s="4" t="s">
        <v>353</v>
      </c>
      <c r="R235" s="4"/>
      <c r="S235" s="1">
        <f>IF(P235="",0,1)</f>
        <v>0</v>
      </c>
      <c r="T235" s="1">
        <f>IF(B235="126",1,0)</f>
        <v>0</v>
      </c>
    </row>
    <row r="236" spans="1:20" ht="21" customHeight="1" x14ac:dyDescent="0.25">
      <c r="A236" s="4" t="s">
        <v>992</v>
      </c>
      <c r="B236" s="4" t="s">
        <v>11</v>
      </c>
      <c r="C236" s="5" t="s">
        <v>23</v>
      </c>
      <c r="D236" s="5" t="s">
        <v>23</v>
      </c>
      <c r="E236" s="5" t="s">
        <v>22</v>
      </c>
      <c r="F236" s="5" t="s">
        <v>23</v>
      </c>
      <c r="G236" s="5" t="s">
        <v>22</v>
      </c>
      <c r="H236" s="5" t="s">
        <v>5</v>
      </c>
      <c r="I236" s="5" t="s">
        <v>5</v>
      </c>
      <c r="J236" s="5" t="s">
        <v>23</v>
      </c>
      <c r="K236" s="5" t="s">
        <v>232</v>
      </c>
      <c r="L236" s="5" t="s">
        <v>771</v>
      </c>
      <c r="M236" s="5" t="s">
        <v>333</v>
      </c>
      <c r="N236" s="10">
        <v>26</v>
      </c>
      <c r="O236" s="10">
        <v>7736</v>
      </c>
      <c r="P236" s="5"/>
      <c r="Q236" s="4" t="s">
        <v>353</v>
      </c>
      <c r="R236" s="4"/>
      <c r="S236" s="1">
        <f>IF(P236="",0,1)</f>
        <v>0</v>
      </c>
      <c r="T236" s="1">
        <f>IF(B236="126",1,0)</f>
        <v>0</v>
      </c>
    </row>
    <row r="237" spans="1:20" ht="21" customHeight="1" x14ac:dyDescent="0.25">
      <c r="A237" s="4" t="s">
        <v>993</v>
      </c>
      <c r="B237" s="4" t="s">
        <v>11</v>
      </c>
      <c r="C237" s="5" t="s">
        <v>23</v>
      </c>
      <c r="D237" s="5" t="s">
        <v>23</v>
      </c>
      <c r="E237" s="5" t="s">
        <v>22</v>
      </c>
      <c r="F237" s="5" t="s">
        <v>23</v>
      </c>
      <c r="G237" s="5" t="s">
        <v>22</v>
      </c>
      <c r="H237" s="5" t="s">
        <v>5</v>
      </c>
      <c r="I237" s="5" t="s">
        <v>5</v>
      </c>
      <c r="J237" s="5" t="s">
        <v>23</v>
      </c>
      <c r="K237" s="5" t="s">
        <v>233</v>
      </c>
      <c r="L237" s="5" t="s">
        <v>1049</v>
      </c>
      <c r="M237" s="5" t="s">
        <v>1050</v>
      </c>
      <c r="N237" s="10">
        <v>9</v>
      </c>
      <c r="O237" s="10">
        <v>2630</v>
      </c>
      <c r="P237" s="5"/>
      <c r="Q237" s="4" t="s">
        <v>353</v>
      </c>
      <c r="R237" s="4"/>
      <c r="S237" s="1">
        <f>IF(P237="",0,1)</f>
        <v>0</v>
      </c>
      <c r="T237" s="1">
        <f>IF(B237="126",1,0)</f>
        <v>0</v>
      </c>
    </row>
    <row r="238" spans="1:20" ht="21" customHeight="1" x14ac:dyDescent="0.25">
      <c r="A238" s="4" t="s">
        <v>994</v>
      </c>
      <c r="B238" s="4" t="s">
        <v>11</v>
      </c>
      <c r="C238" s="5" t="s">
        <v>23</v>
      </c>
      <c r="D238" s="5" t="s">
        <v>23</v>
      </c>
      <c r="E238" s="5" t="s">
        <v>22</v>
      </c>
      <c r="F238" s="5" t="s">
        <v>23</v>
      </c>
      <c r="G238" s="5" t="s">
        <v>22</v>
      </c>
      <c r="H238" s="5" t="s">
        <v>5</v>
      </c>
      <c r="I238" s="5" t="s">
        <v>5</v>
      </c>
      <c r="J238" s="5" t="s">
        <v>23</v>
      </c>
      <c r="K238" s="5" t="s">
        <v>234</v>
      </c>
      <c r="L238" s="5" t="s">
        <v>235</v>
      </c>
      <c r="M238" s="5" t="s">
        <v>1051</v>
      </c>
      <c r="N238" s="10">
        <v>16</v>
      </c>
      <c r="O238" s="10">
        <v>4730</v>
      </c>
      <c r="P238" s="5"/>
      <c r="Q238" s="4" t="s">
        <v>353</v>
      </c>
      <c r="R238" s="4"/>
      <c r="S238" s="1">
        <f>IF(P238="",0,1)</f>
        <v>0</v>
      </c>
      <c r="T238" s="1">
        <f>IF(B238="126",1,0)</f>
        <v>0</v>
      </c>
    </row>
    <row r="239" spans="1:20" ht="21" customHeight="1" x14ac:dyDescent="0.25">
      <c r="A239" s="4" t="s">
        <v>995</v>
      </c>
      <c r="B239" s="4" t="s">
        <v>11</v>
      </c>
      <c r="C239" s="5" t="s">
        <v>23</v>
      </c>
      <c r="D239" s="5" t="s">
        <v>23</v>
      </c>
      <c r="E239" s="5" t="s">
        <v>22</v>
      </c>
      <c r="F239" s="5" t="s">
        <v>23</v>
      </c>
      <c r="G239" s="5" t="s">
        <v>22</v>
      </c>
      <c r="H239" s="5" t="s">
        <v>5</v>
      </c>
      <c r="I239" s="5" t="s">
        <v>5</v>
      </c>
      <c r="J239" s="5" t="s">
        <v>23</v>
      </c>
      <c r="K239" s="5" t="s">
        <v>236</v>
      </c>
      <c r="L239" s="5" t="s">
        <v>237</v>
      </c>
      <c r="M239" s="5" t="s">
        <v>334</v>
      </c>
      <c r="N239" s="10">
        <v>34</v>
      </c>
      <c r="O239" s="10">
        <v>10026</v>
      </c>
      <c r="P239" s="5"/>
      <c r="Q239" s="4" t="s">
        <v>353</v>
      </c>
      <c r="R239" s="4"/>
      <c r="S239" s="1">
        <f>IF(P239="",0,1)</f>
        <v>0</v>
      </c>
      <c r="T239" s="1">
        <f>IF(B239="126",1,0)</f>
        <v>0</v>
      </c>
    </row>
    <row r="240" spans="1:20" ht="21" customHeight="1" x14ac:dyDescent="0.25">
      <c r="A240" s="4" t="s">
        <v>996</v>
      </c>
      <c r="B240" s="4" t="s">
        <v>11</v>
      </c>
      <c r="C240" s="5" t="s">
        <v>23</v>
      </c>
      <c r="D240" s="5" t="s">
        <v>23</v>
      </c>
      <c r="E240" s="5" t="s">
        <v>22</v>
      </c>
      <c r="F240" s="5" t="s">
        <v>23</v>
      </c>
      <c r="G240" s="5" t="s">
        <v>22</v>
      </c>
      <c r="H240" s="5" t="s">
        <v>5</v>
      </c>
      <c r="I240" s="5" t="s">
        <v>5</v>
      </c>
      <c r="J240" s="5" t="s">
        <v>23</v>
      </c>
      <c r="K240" s="5" t="s">
        <v>238</v>
      </c>
      <c r="L240" s="5" t="s">
        <v>239</v>
      </c>
      <c r="M240" s="5" t="s">
        <v>240</v>
      </c>
      <c r="N240" s="10">
        <v>29</v>
      </c>
      <c r="O240" s="10">
        <v>8630</v>
      </c>
      <c r="P240" s="5"/>
      <c r="Q240" s="4" t="s">
        <v>353</v>
      </c>
      <c r="R240" s="4"/>
      <c r="S240" s="1">
        <f>IF(P240="",0,1)</f>
        <v>0</v>
      </c>
      <c r="T240" s="1">
        <f>IF(B240="126",1,0)</f>
        <v>0</v>
      </c>
    </row>
    <row r="241" spans="1:20" ht="21" customHeight="1" x14ac:dyDescent="0.25">
      <c r="A241" s="4" t="s">
        <v>997</v>
      </c>
      <c r="B241" s="4" t="s">
        <v>11</v>
      </c>
      <c r="C241" s="5" t="s">
        <v>23</v>
      </c>
      <c r="D241" s="5" t="s">
        <v>23</v>
      </c>
      <c r="E241" s="5" t="s">
        <v>22</v>
      </c>
      <c r="F241" s="5" t="s">
        <v>23</v>
      </c>
      <c r="G241" s="5" t="s">
        <v>22</v>
      </c>
      <c r="H241" s="5" t="s">
        <v>5</v>
      </c>
      <c r="I241" s="5" t="s">
        <v>5</v>
      </c>
      <c r="J241" s="5" t="s">
        <v>23</v>
      </c>
      <c r="K241" s="5" t="s">
        <v>241</v>
      </c>
      <c r="L241" s="5" t="s">
        <v>242</v>
      </c>
      <c r="M241" s="5" t="s">
        <v>773</v>
      </c>
      <c r="N241" s="10">
        <v>15</v>
      </c>
      <c r="O241" s="10">
        <v>4435</v>
      </c>
      <c r="P241" s="5"/>
      <c r="Q241" s="4" t="s">
        <v>353</v>
      </c>
      <c r="R241" s="4"/>
      <c r="S241" s="1">
        <f>IF(P241="",0,1)</f>
        <v>0</v>
      </c>
      <c r="T241" s="1">
        <f>IF(B241="126",1,0)</f>
        <v>0</v>
      </c>
    </row>
    <row r="242" spans="1:20" ht="21" customHeight="1" x14ac:dyDescent="0.25">
      <c r="A242" s="4" t="s">
        <v>998</v>
      </c>
      <c r="B242" s="4" t="s">
        <v>11</v>
      </c>
      <c r="C242" s="5" t="s">
        <v>23</v>
      </c>
      <c r="D242" s="5" t="s">
        <v>23</v>
      </c>
      <c r="E242" s="5" t="s">
        <v>22</v>
      </c>
      <c r="F242" s="5" t="s">
        <v>23</v>
      </c>
      <c r="G242" s="5" t="s">
        <v>22</v>
      </c>
      <c r="H242" s="5" t="s">
        <v>5</v>
      </c>
      <c r="I242" s="5" t="s">
        <v>5</v>
      </c>
      <c r="J242" s="5" t="s">
        <v>23</v>
      </c>
      <c r="K242" s="5" t="s">
        <v>243</v>
      </c>
      <c r="L242" s="5" t="s">
        <v>774</v>
      </c>
      <c r="M242" s="5" t="s">
        <v>244</v>
      </c>
      <c r="N242" s="10">
        <v>23</v>
      </c>
      <c r="O242" s="10">
        <v>6832</v>
      </c>
      <c r="P242" s="5"/>
      <c r="Q242" s="4" t="s">
        <v>353</v>
      </c>
      <c r="R242" s="4"/>
      <c r="S242" s="1">
        <f>IF(P242="",0,1)</f>
        <v>0</v>
      </c>
      <c r="T242" s="1">
        <f>IF(B242="126",1,0)</f>
        <v>0</v>
      </c>
    </row>
    <row r="243" spans="1:20" ht="21" customHeight="1" x14ac:dyDescent="0.25">
      <c r="A243" s="4" t="s">
        <v>999</v>
      </c>
      <c r="B243" s="4" t="s">
        <v>11</v>
      </c>
      <c r="C243" s="5" t="s">
        <v>23</v>
      </c>
      <c r="D243" s="5" t="s">
        <v>23</v>
      </c>
      <c r="E243" s="5" t="s">
        <v>22</v>
      </c>
      <c r="F243" s="5" t="s">
        <v>23</v>
      </c>
      <c r="G243" s="5" t="s">
        <v>22</v>
      </c>
      <c r="H243" s="5" t="s">
        <v>5</v>
      </c>
      <c r="I243" s="5" t="s">
        <v>5</v>
      </c>
      <c r="J243" s="5" t="s">
        <v>23</v>
      </c>
      <c r="K243" s="5" t="s">
        <v>245</v>
      </c>
      <c r="L243" s="5" t="s">
        <v>246</v>
      </c>
      <c r="M243" s="5" t="s">
        <v>247</v>
      </c>
      <c r="N243" s="10">
        <v>21</v>
      </c>
      <c r="O243" s="10">
        <v>6230</v>
      </c>
      <c r="P243" s="5"/>
      <c r="Q243" s="4" t="s">
        <v>353</v>
      </c>
      <c r="R243" s="4"/>
      <c r="S243" s="1">
        <f>IF(P243="",0,1)</f>
        <v>0</v>
      </c>
      <c r="T243" s="1">
        <f>IF(B243="126",1,0)</f>
        <v>0</v>
      </c>
    </row>
    <row r="244" spans="1:20" ht="21" customHeight="1" x14ac:dyDescent="0.25">
      <c r="A244" s="4" t="s">
        <v>1000</v>
      </c>
      <c r="B244" s="4" t="s">
        <v>11</v>
      </c>
      <c r="C244" s="5" t="s">
        <v>23</v>
      </c>
      <c r="D244" s="5" t="s">
        <v>23</v>
      </c>
      <c r="E244" s="5" t="s">
        <v>22</v>
      </c>
      <c r="F244" s="5" t="s">
        <v>23</v>
      </c>
      <c r="G244" s="5" t="s">
        <v>22</v>
      </c>
      <c r="H244" s="5" t="s">
        <v>5</v>
      </c>
      <c r="I244" s="5" t="s">
        <v>5</v>
      </c>
      <c r="J244" s="5" t="s">
        <v>23</v>
      </c>
      <c r="K244" s="5" t="s">
        <v>248</v>
      </c>
      <c r="L244" s="5" t="s">
        <v>249</v>
      </c>
      <c r="M244" s="5" t="s">
        <v>335</v>
      </c>
      <c r="N244" s="10">
        <v>21</v>
      </c>
      <c r="O244" s="10">
        <v>6234</v>
      </c>
      <c r="P244" s="5"/>
      <c r="Q244" s="4" t="s">
        <v>353</v>
      </c>
      <c r="R244" s="4"/>
      <c r="S244" s="1">
        <f>IF(P244="",0,1)</f>
        <v>0</v>
      </c>
      <c r="T244" s="1">
        <f>IF(B244="126",1,0)</f>
        <v>0</v>
      </c>
    </row>
    <row r="245" spans="1:20" ht="21" customHeight="1" x14ac:dyDescent="0.25">
      <c r="A245" s="4" t="s">
        <v>1001</v>
      </c>
      <c r="B245" s="4" t="s">
        <v>11</v>
      </c>
      <c r="C245" s="5" t="s">
        <v>23</v>
      </c>
      <c r="D245" s="5" t="s">
        <v>23</v>
      </c>
      <c r="E245" s="5" t="s">
        <v>22</v>
      </c>
      <c r="F245" s="5" t="s">
        <v>23</v>
      </c>
      <c r="G245" s="5" t="s">
        <v>22</v>
      </c>
      <c r="H245" s="5" t="s">
        <v>5</v>
      </c>
      <c r="I245" s="5" t="s">
        <v>5</v>
      </c>
      <c r="J245" s="5" t="s">
        <v>23</v>
      </c>
      <c r="K245" s="5" t="s">
        <v>250</v>
      </c>
      <c r="L245" s="5" t="s">
        <v>251</v>
      </c>
      <c r="M245" s="5" t="s">
        <v>266</v>
      </c>
      <c r="N245" s="10">
        <v>26</v>
      </c>
      <c r="O245" s="10">
        <v>7733</v>
      </c>
      <c r="P245" s="5"/>
      <c r="Q245" s="4" t="s">
        <v>353</v>
      </c>
      <c r="R245" s="4"/>
      <c r="S245" s="1">
        <f>IF(P245="",0,1)</f>
        <v>0</v>
      </c>
      <c r="T245" s="1">
        <f>IF(B245="126",1,0)</f>
        <v>0</v>
      </c>
    </row>
    <row r="246" spans="1:20" ht="21" customHeight="1" x14ac:dyDescent="0.25">
      <c r="A246" s="4" t="s">
        <v>1002</v>
      </c>
      <c r="B246" s="4" t="s">
        <v>11</v>
      </c>
      <c r="C246" s="5" t="s">
        <v>23</v>
      </c>
      <c r="D246" s="5" t="s">
        <v>23</v>
      </c>
      <c r="E246" s="5" t="s">
        <v>22</v>
      </c>
      <c r="F246" s="5" t="s">
        <v>23</v>
      </c>
      <c r="G246" s="5" t="s">
        <v>22</v>
      </c>
      <c r="H246" s="5" t="s">
        <v>5</v>
      </c>
      <c r="I246" s="5" t="s">
        <v>5</v>
      </c>
      <c r="J246" s="5" t="s">
        <v>23</v>
      </c>
      <c r="K246" s="5" t="s">
        <v>252</v>
      </c>
      <c r="L246" s="5" t="s">
        <v>775</v>
      </c>
      <c r="M246" s="5" t="s">
        <v>391</v>
      </c>
      <c r="N246" s="10">
        <v>20</v>
      </c>
      <c r="O246" s="10">
        <v>5961</v>
      </c>
      <c r="P246" s="5"/>
      <c r="Q246" s="4" t="s">
        <v>353</v>
      </c>
      <c r="R246" s="4"/>
      <c r="S246" s="1">
        <f>IF(P246="",0,1)</f>
        <v>0</v>
      </c>
      <c r="T246" s="1">
        <f>IF(B246="126",1,0)</f>
        <v>0</v>
      </c>
    </row>
    <row r="247" spans="1:20" ht="21" customHeight="1" x14ac:dyDescent="0.25">
      <c r="A247" s="4" t="s">
        <v>1003</v>
      </c>
      <c r="B247" s="4" t="s">
        <v>11</v>
      </c>
      <c r="C247" s="5" t="s">
        <v>23</v>
      </c>
      <c r="D247" s="5" t="s">
        <v>23</v>
      </c>
      <c r="E247" s="5" t="s">
        <v>22</v>
      </c>
      <c r="F247" s="5" t="s">
        <v>23</v>
      </c>
      <c r="G247" s="5" t="s">
        <v>22</v>
      </c>
      <c r="H247" s="5" t="s">
        <v>5</v>
      </c>
      <c r="I247" s="5" t="s">
        <v>5</v>
      </c>
      <c r="J247" s="5" t="s">
        <v>23</v>
      </c>
      <c r="K247" s="5" t="s">
        <v>253</v>
      </c>
      <c r="L247" s="5" t="s">
        <v>254</v>
      </c>
      <c r="M247" s="5" t="s">
        <v>255</v>
      </c>
      <c r="N247" s="10">
        <v>24</v>
      </c>
      <c r="O247" s="10">
        <v>7166</v>
      </c>
      <c r="P247" s="5"/>
      <c r="Q247" s="4" t="s">
        <v>353</v>
      </c>
      <c r="R247" s="4"/>
      <c r="S247" s="1">
        <f>IF(P247="",0,1)</f>
        <v>0</v>
      </c>
      <c r="T247" s="1">
        <f>IF(B247="126",1,0)</f>
        <v>0</v>
      </c>
    </row>
    <row r="248" spans="1:20" ht="21" customHeight="1" x14ac:dyDescent="0.25">
      <c r="A248" s="4" t="s">
        <v>1004</v>
      </c>
      <c r="B248" s="4" t="s">
        <v>11</v>
      </c>
      <c r="C248" s="5" t="s">
        <v>23</v>
      </c>
      <c r="D248" s="5" t="s">
        <v>23</v>
      </c>
      <c r="E248" s="5" t="s">
        <v>22</v>
      </c>
      <c r="F248" s="5" t="s">
        <v>23</v>
      </c>
      <c r="G248" s="5" t="s">
        <v>22</v>
      </c>
      <c r="H248" s="5" t="s">
        <v>5</v>
      </c>
      <c r="I248" s="5" t="s">
        <v>5</v>
      </c>
      <c r="J248" s="5" t="s">
        <v>23</v>
      </c>
      <c r="K248" s="5" t="s">
        <v>256</v>
      </c>
      <c r="L248" s="5" t="s">
        <v>776</v>
      </c>
      <c r="M248" s="5" t="s">
        <v>777</v>
      </c>
      <c r="N248" s="10">
        <v>2</v>
      </c>
      <c r="O248" s="10">
        <v>564</v>
      </c>
      <c r="P248" s="5"/>
      <c r="Q248" s="4" t="s">
        <v>353</v>
      </c>
      <c r="R248" s="4"/>
      <c r="S248" s="1">
        <f>IF(P248="",0,1)</f>
        <v>0</v>
      </c>
      <c r="T248" s="1">
        <f>IF(B248="126",1,0)</f>
        <v>0</v>
      </c>
    </row>
    <row r="249" spans="1:20" ht="21" customHeight="1" x14ac:dyDescent="0.25">
      <c r="A249" s="4" t="s">
        <v>1005</v>
      </c>
      <c r="B249" s="4" t="s">
        <v>11</v>
      </c>
      <c r="C249" s="5" t="s">
        <v>23</v>
      </c>
      <c r="D249" s="5" t="s">
        <v>23</v>
      </c>
      <c r="E249" s="5" t="s">
        <v>22</v>
      </c>
      <c r="F249" s="5" t="s">
        <v>23</v>
      </c>
      <c r="G249" s="5" t="s">
        <v>22</v>
      </c>
      <c r="H249" s="5" t="s">
        <v>5</v>
      </c>
      <c r="I249" s="5" t="s">
        <v>5</v>
      </c>
      <c r="J249" s="5" t="s">
        <v>23</v>
      </c>
      <c r="K249" s="5" t="s">
        <v>257</v>
      </c>
      <c r="L249" s="5" t="s">
        <v>392</v>
      </c>
      <c r="M249" s="5" t="s">
        <v>1052</v>
      </c>
      <c r="N249" s="10">
        <v>12</v>
      </c>
      <c r="O249" s="10">
        <v>3530</v>
      </c>
      <c r="P249" s="5"/>
      <c r="Q249" s="4" t="s">
        <v>353</v>
      </c>
      <c r="R249" s="4"/>
      <c r="S249" s="1">
        <f>IF(P249="",0,1)</f>
        <v>0</v>
      </c>
      <c r="T249" s="1">
        <f>IF(B249="126",1,0)</f>
        <v>0</v>
      </c>
    </row>
    <row r="250" spans="1:20" ht="21" customHeight="1" x14ac:dyDescent="0.25">
      <c r="A250" s="4" t="s">
        <v>1006</v>
      </c>
      <c r="B250" s="4" t="s">
        <v>11</v>
      </c>
      <c r="C250" s="5" t="s">
        <v>23</v>
      </c>
      <c r="D250" s="5" t="s">
        <v>23</v>
      </c>
      <c r="E250" s="5" t="s">
        <v>22</v>
      </c>
      <c r="F250" s="5" t="s">
        <v>23</v>
      </c>
      <c r="G250" s="5" t="s">
        <v>22</v>
      </c>
      <c r="H250" s="5" t="s">
        <v>5</v>
      </c>
      <c r="I250" s="5" t="s">
        <v>5</v>
      </c>
      <c r="J250" s="5" t="s">
        <v>23</v>
      </c>
      <c r="K250" s="5" t="s">
        <v>258</v>
      </c>
      <c r="L250" s="5" t="s">
        <v>778</v>
      </c>
      <c r="M250" s="5" t="s">
        <v>336</v>
      </c>
      <c r="N250" s="10">
        <v>10</v>
      </c>
      <c r="O250" s="10">
        <v>2930</v>
      </c>
      <c r="P250" s="5"/>
      <c r="Q250" s="4" t="s">
        <v>353</v>
      </c>
      <c r="R250" s="4"/>
      <c r="S250" s="1">
        <f>IF(P250="",0,1)</f>
        <v>0</v>
      </c>
      <c r="T250" s="1">
        <f>IF(B250="126",1,0)</f>
        <v>0</v>
      </c>
    </row>
    <row r="251" spans="1:20" ht="21" customHeight="1" x14ac:dyDescent="0.25">
      <c r="A251" s="4" t="s">
        <v>1007</v>
      </c>
      <c r="B251" s="4" t="s">
        <v>11</v>
      </c>
      <c r="C251" s="5" t="s">
        <v>23</v>
      </c>
      <c r="D251" s="5" t="s">
        <v>23</v>
      </c>
      <c r="E251" s="5" t="s">
        <v>22</v>
      </c>
      <c r="F251" s="5" t="s">
        <v>23</v>
      </c>
      <c r="G251" s="5" t="s">
        <v>22</v>
      </c>
      <c r="H251" s="5" t="s">
        <v>5</v>
      </c>
      <c r="I251" s="5" t="s">
        <v>5</v>
      </c>
      <c r="J251" s="5" t="s">
        <v>23</v>
      </c>
      <c r="K251" s="5" t="s">
        <v>779</v>
      </c>
      <c r="L251" s="5" t="s">
        <v>780</v>
      </c>
      <c r="M251" s="5" t="s">
        <v>781</v>
      </c>
      <c r="N251" s="10">
        <v>3</v>
      </c>
      <c r="O251" s="10">
        <v>889</v>
      </c>
      <c r="P251" s="5"/>
      <c r="Q251" s="4" t="s">
        <v>353</v>
      </c>
      <c r="R251" s="4"/>
      <c r="S251" s="1">
        <f>IF(P251="",0,1)</f>
        <v>0</v>
      </c>
      <c r="T251" s="1">
        <f>IF(B251="126",1,0)</f>
        <v>0</v>
      </c>
    </row>
    <row r="252" spans="1:20" ht="21" customHeight="1" x14ac:dyDescent="0.25">
      <c r="A252" s="4" t="s">
        <v>1008</v>
      </c>
      <c r="B252" s="4" t="s">
        <v>11</v>
      </c>
      <c r="C252" s="5" t="s">
        <v>23</v>
      </c>
      <c r="D252" s="5" t="s">
        <v>23</v>
      </c>
      <c r="E252" s="5" t="s">
        <v>22</v>
      </c>
      <c r="F252" s="5" t="s">
        <v>23</v>
      </c>
      <c r="G252" s="5" t="s">
        <v>22</v>
      </c>
      <c r="H252" s="5" t="s">
        <v>5</v>
      </c>
      <c r="I252" s="5" t="s">
        <v>5</v>
      </c>
      <c r="J252" s="5" t="s">
        <v>23</v>
      </c>
      <c r="K252" s="5" t="s">
        <v>259</v>
      </c>
      <c r="L252" s="5" t="s">
        <v>260</v>
      </c>
      <c r="M252" s="5" t="s">
        <v>337</v>
      </c>
      <c r="N252" s="10">
        <v>11</v>
      </c>
      <c r="O252" s="10">
        <v>3230</v>
      </c>
      <c r="P252" s="5"/>
      <c r="Q252" s="4" t="s">
        <v>353</v>
      </c>
      <c r="R252" s="4"/>
      <c r="S252" s="1">
        <f>IF(P252="",0,1)</f>
        <v>0</v>
      </c>
      <c r="T252" s="1">
        <f>IF(B252="126",1,0)</f>
        <v>0</v>
      </c>
    </row>
    <row r="253" spans="1:20" ht="21" customHeight="1" x14ac:dyDescent="0.25">
      <c r="A253" s="4" t="s">
        <v>1009</v>
      </c>
      <c r="B253" s="4" t="s">
        <v>11</v>
      </c>
      <c r="C253" s="5" t="s">
        <v>23</v>
      </c>
      <c r="D253" s="5" t="s">
        <v>23</v>
      </c>
      <c r="E253" s="5" t="s">
        <v>22</v>
      </c>
      <c r="F253" s="5" t="s">
        <v>23</v>
      </c>
      <c r="G253" s="5" t="s">
        <v>22</v>
      </c>
      <c r="H253" s="5" t="s">
        <v>5</v>
      </c>
      <c r="I253" s="5" t="s">
        <v>5</v>
      </c>
      <c r="J253" s="5" t="s">
        <v>23</v>
      </c>
      <c r="K253" s="5" t="s">
        <v>261</v>
      </c>
      <c r="L253" s="5" t="s">
        <v>262</v>
      </c>
      <c r="M253" s="5" t="s">
        <v>393</v>
      </c>
      <c r="N253" s="10">
        <v>24</v>
      </c>
      <c r="O253" s="10">
        <v>7148</v>
      </c>
      <c r="P253" s="5"/>
      <c r="Q253" s="4" t="s">
        <v>353</v>
      </c>
      <c r="R253" s="4"/>
      <c r="S253" s="1">
        <f>IF(P253="",0,1)</f>
        <v>0</v>
      </c>
      <c r="T253" s="1">
        <f>IF(B253="126",1,0)</f>
        <v>0</v>
      </c>
    </row>
    <row r="254" spans="1:20" ht="21" customHeight="1" x14ac:dyDescent="0.25">
      <c r="A254" s="4" t="s">
        <v>1010</v>
      </c>
      <c r="B254" s="4" t="s">
        <v>11</v>
      </c>
      <c r="C254" s="5" t="s">
        <v>23</v>
      </c>
      <c r="D254" s="5" t="s">
        <v>23</v>
      </c>
      <c r="E254" s="5" t="s">
        <v>22</v>
      </c>
      <c r="F254" s="5" t="s">
        <v>23</v>
      </c>
      <c r="G254" s="5" t="s">
        <v>22</v>
      </c>
      <c r="H254" s="5" t="s">
        <v>5</v>
      </c>
      <c r="I254" s="5" t="s">
        <v>5</v>
      </c>
      <c r="J254" s="5" t="s">
        <v>23</v>
      </c>
      <c r="K254" s="5" t="s">
        <v>263</v>
      </c>
      <c r="L254" s="5" t="s">
        <v>264</v>
      </c>
      <c r="M254" s="5" t="s">
        <v>394</v>
      </c>
      <c r="N254" s="10">
        <v>7</v>
      </c>
      <c r="O254" s="10">
        <v>2080</v>
      </c>
      <c r="P254" s="5"/>
      <c r="Q254" s="4" t="s">
        <v>353</v>
      </c>
      <c r="R254" s="4"/>
      <c r="S254" s="1">
        <f>IF(P254="",0,1)</f>
        <v>0</v>
      </c>
      <c r="T254" s="1">
        <f>IF(B254="126",1,0)</f>
        <v>0</v>
      </c>
    </row>
    <row r="255" spans="1:20" ht="21" customHeight="1" x14ac:dyDescent="0.25">
      <c r="A255" s="4" t="s">
        <v>1011</v>
      </c>
      <c r="B255" s="4" t="s">
        <v>11</v>
      </c>
      <c r="C255" s="5" t="s">
        <v>23</v>
      </c>
      <c r="D255" s="5" t="s">
        <v>23</v>
      </c>
      <c r="E255" s="5" t="s">
        <v>22</v>
      </c>
      <c r="F255" s="5" t="s">
        <v>23</v>
      </c>
      <c r="G255" s="5" t="s">
        <v>22</v>
      </c>
      <c r="H255" s="5" t="s">
        <v>5</v>
      </c>
      <c r="I255" s="5" t="s">
        <v>5</v>
      </c>
      <c r="J255" s="5" t="s">
        <v>23</v>
      </c>
      <c r="K255" s="5" t="s">
        <v>782</v>
      </c>
      <c r="L255" s="5" t="s">
        <v>783</v>
      </c>
      <c r="M255" s="5" t="s">
        <v>33</v>
      </c>
      <c r="N255" s="10">
        <v>6</v>
      </c>
      <c r="O255" s="10">
        <v>1730</v>
      </c>
      <c r="P255" s="5"/>
      <c r="Q255" s="4" t="s">
        <v>353</v>
      </c>
      <c r="R255" s="4"/>
      <c r="S255" s="1">
        <f>IF(P255="",0,1)</f>
        <v>0</v>
      </c>
      <c r="T255" s="1">
        <f>IF(B255="126",1,0)</f>
        <v>0</v>
      </c>
    </row>
    <row r="256" spans="1:20" ht="21" customHeight="1" x14ac:dyDescent="0.25">
      <c r="A256" s="4" t="s">
        <v>1012</v>
      </c>
      <c r="B256" s="4" t="s">
        <v>11</v>
      </c>
      <c r="C256" s="5" t="s">
        <v>23</v>
      </c>
      <c r="D256" s="5" t="s">
        <v>23</v>
      </c>
      <c r="E256" s="5" t="s">
        <v>22</v>
      </c>
      <c r="F256" s="5" t="s">
        <v>23</v>
      </c>
      <c r="G256" s="5" t="s">
        <v>22</v>
      </c>
      <c r="H256" s="5" t="s">
        <v>5</v>
      </c>
      <c r="I256" s="5" t="s">
        <v>5</v>
      </c>
      <c r="J256" s="5" t="s">
        <v>23</v>
      </c>
      <c r="K256" s="5" t="s">
        <v>784</v>
      </c>
      <c r="L256" s="5" t="s">
        <v>785</v>
      </c>
      <c r="M256" s="5" t="s">
        <v>786</v>
      </c>
      <c r="N256" s="10">
        <v>6</v>
      </c>
      <c r="O256" s="10">
        <v>1730</v>
      </c>
      <c r="P256" s="5"/>
      <c r="Q256" s="4" t="s">
        <v>353</v>
      </c>
      <c r="R256" s="4"/>
      <c r="S256" s="1">
        <f>IF(P256="",0,1)</f>
        <v>0</v>
      </c>
      <c r="T256" s="1">
        <f>IF(B256="126",1,0)</f>
        <v>0</v>
      </c>
    </row>
    <row r="257" spans="1:20" ht="21" customHeight="1" x14ac:dyDescent="0.25">
      <c r="A257" s="4" t="s">
        <v>1013</v>
      </c>
      <c r="B257" s="4" t="s">
        <v>11</v>
      </c>
      <c r="C257" s="5" t="s">
        <v>23</v>
      </c>
      <c r="D257" s="5" t="s">
        <v>23</v>
      </c>
      <c r="E257" s="5" t="s">
        <v>22</v>
      </c>
      <c r="F257" s="5" t="s">
        <v>23</v>
      </c>
      <c r="G257" s="5" t="s">
        <v>22</v>
      </c>
      <c r="H257" s="5" t="s">
        <v>5</v>
      </c>
      <c r="I257" s="5" t="s">
        <v>5</v>
      </c>
      <c r="J257" s="5" t="s">
        <v>23</v>
      </c>
      <c r="K257" s="5" t="s">
        <v>395</v>
      </c>
      <c r="L257" s="5" t="s">
        <v>396</v>
      </c>
      <c r="M257" s="5" t="s">
        <v>1053</v>
      </c>
      <c r="N257" s="10">
        <v>9</v>
      </c>
      <c r="O257" s="10">
        <v>2630</v>
      </c>
      <c r="P257" s="5"/>
      <c r="Q257" s="4" t="s">
        <v>353</v>
      </c>
      <c r="R257" s="4"/>
      <c r="S257" s="1">
        <f>IF(P257="",0,1)</f>
        <v>0</v>
      </c>
      <c r="T257" s="1">
        <f>IF(B257="126",1,0)</f>
        <v>0</v>
      </c>
    </row>
    <row r="258" spans="1:20" ht="21" customHeight="1" x14ac:dyDescent="0.25">
      <c r="A258" s="4" t="s">
        <v>1014</v>
      </c>
      <c r="B258" s="4" t="s">
        <v>11</v>
      </c>
      <c r="C258" s="5" t="s">
        <v>23</v>
      </c>
      <c r="D258" s="5" t="s">
        <v>23</v>
      </c>
      <c r="E258" s="5" t="s">
        <v>22</v>
      </c>
      <c r="F258" s="5" t="s">
        <v>23</v>
      </c>
      <c r="G258" s="5" t="s">
        <v>22</v>
      </c>
      <c r="H258" s="5" t="s">
        <v>5</v>
      </c>
      <c r="I258" s="5" t="s">
        <v>5</v>
      </c>
      <c r="J258" s="5" t="s">
        <v>23</v>
      </c>
      <c r="K258" s="5" t="s">
        <v>397</v>
      </c>
      <c r="L258" s="5" t="s">
        <v>398</v>
      </c>
      <c r="M258" s="5" t="s">
        <v>399</v>
      </c>
      <c r="N258" s="10">
        <v>11</v>
      </c>
      <c r="O258" s="10">
        <v>3230</v>
      </c>
      <c r="P258" s="5"/>
      <c r="Q258" s="4" t="s">
        <v>353</v>
      </c>
      <c r="R258" s="4"/>
      <c r="S258" s="1">
        <f>IF(P258="",0,1)</f>
        <v>0</v>
      </c>
      <c r="T258" s="1">
        <f>IF(B258="126",1,0)</f>
        <v>0</v>
      </c>
    </row>
    <row r="259" spans="1:20" ht="21" customHeight="1" x14ac:dyDescent="0.25">
      <c r="A259" s="4" t="s">
        <v>1015</v>
      </c>
      <c r="B259" s="4" t="s">
        <v>11</v>
      </c>
      <c r="C259" s="5" t="s">
        <v>23</v>
      </c>
      <c r="D259" s="5" t="s">
        <v>23</v>
      </c>
      <c r="E259" s="5" t="s">
        <v>22</v>
      </c>
      <c r="F259" s="5" t="s">
        <v>23</v>
      </c>
      <c r="G259" s="5" t="s">
        <v>22</v>
      </c>
      <c r="H259" s="5" t="s">
        <v>5</v>
      </c>
      <c r="I259" s="5" t="s">
        <v>5</v>
      </c>
      <c r="J259" s="5" t="s">
        <v>23</v>
      </c>
      <c r="K259" s="5" t="s">
        <v>400</v>
      </c>
      <c r="L259" s="5" t="s">
        <v>401</v>
      </c>
      <c r="M259" s="5" t="s">
        <v>402</v>
      </c>
      <c r="N259" s="10">
        <v>9</v>
      </c>
      <c r="O259" s="10">
        <v>2630</v>
      </c>
      <c r="P259" s="5"/>
      <c r="Q259" s="4" t="s">
        <v>353</v>
      </c>
      <c r="R259" s="4"/>
      <c r="S259" s="1">
        <f>IF(P259="",0,1)</f>
        <v>0</v>
      </c>
      <c r="T259" s="1">
        <f>IF(B259="126",1,0)</f>
        <v>0</v>
      </c>
    </row>
    <row r="260" spans="1:20" ht="21" customHeight="1" x14ac:dyDescent="0.25">
      <c r="A260" s="4" t="s">
        <v>1016</v>
      </c>
      <c r="B260" s="4" t="s">
        <v>11</v>
      </c>
      <c r="C260" s="5" t="s">
        <v>23</v>
      </c>
      <c r="D260" s="5" t="s">
        <v>23</v>
      </c>
      <c r="E260" s="5" t="s">
        <v>22</v>
      </c>
      <c r="F260" s="5" t="s">
        <v>23</v>
      </c>
      <c r="G260" s="5" t="s">
        <v>22</v>
      </c>
      <c r="H260" s="5" t="s">
        <v>5</v>
      </c>
      <c r="I260" s="5" t="s">
        <v>5</v>
      </c>
      <c r="J260" s="5" t="s">
        <v>23</v>
      </c>
      <c r="K260" s="5" t="s">
        <v>787</v>
      </c>
      <c r="L260" s="5" t="s">
        <v>788</v>
      </c>
      <c r="M260" s="5" t="s">
        <v>789</v>
      </c>
      <c r="N260" s="10">
        <v>5</v>
      </c>
      <c r="O260" s="10">
        <v>1430</v>
      </c>
      <c r="P260" s="5"/>
      <c r="Q260" s="4" t="s">
        <v>353</v>
      </c>
      <c r="R260" s="4"/>
      <c r="S260" s="1">
        <f>IF(P260="",0,1)</f>
        <v>0</v>
      </c>
      <c r="T260" s="1">
        <f>IF(B260="126",1,0)</f>
        <v>0</v>
      </c>
    </row>
    <row r="261" spans="1:20" ht="21" customHeight="1" x14ac:dyDescent="0.25">
      <c r="A261" s="4" t="s">
        <v>1017</v>
      </c>
      <c r="B261" s="4" t="s">
        <v>11</v>
      </c>
      <c r="C261" s="5" t="s">
        <v>23</v>
      </c>
      <c r="D261" s="5" t="s">
        <v>23</v>
      </c>
      <c r="E261" s="5" t="s">
        <v>22</v>
      </c>
      <c r="F261" s="5" t="s">
        <v>23</v>
      </c>
      <c r="G261" s="5" t="s">
        <v>22</v>
      </c>
      <c r="H261" s="5" t="s">
        <v>5</v>
      </c>
      <c r="I261" s="5" t="s">
        <v>5</v>
      </c>
      <c r="J261" s="5" t="s">
        <v>23</v>
      </c>
      <c r="K261" s="5" t="s">
        <v>403</v>
      </c>
      <c r="L261" s="5" t="s">
        <v>790</v>
      </c>
      <c r="M261" s="5" t="s">
        <v>404</v>
      </c>
      <c r="N261" s="10">
        <v>19</v>
      </c>
      <c r="O261" s="10">
        <v>5690</v>
      </c>
      <c r="P261" s="5"/>
      <c r="Q261" s="4" t="s">
        <v>353</v>
      </c>
      <c r="R261" s="4"/>
      <c r="S261" s="1">
        <f>IF(P261="",0,1)</f>
        <v>0</v>
      </c>
      <c r="T261" s="1">
        <f>IF(B261="126",1,0)</f>
        <v>0</v>
      </c>
    </row>
    <row r="262" spans="1:20" ht="21" customHeight="1" x14ac:dyDescent="0.25">
      <c r="A262" s="4" t="s">
        <v>1018</v>
      </c>
      <c r="B262" s="4" t="s">
        <v>11</v>
      </c>
      <c r="C262" s="5" t="s">
        <v>23</v>
      </c>
      <c r="D262" s="5" t="s">
        <v>23</v>
      </c>
      <c r="E262" s="5" t="s">
        <v>22</v>
      </c>
      <c r="F262" s="5" t="s">
        <v>23</v>
      </c>
      <c r="G262" s="5" t="s">
        <v>22</v>
      </c>
      <c r="H262" s="5" t="s">
        <v>5</v>
      </c>
      <c r="I262" s="5" t="s">
        <v>5</v>
      </c>
      <c r="J262" s="5" t="s">
        <v>23</v>
      </c>
      <c r="K262" s="5" t="s">
        <v>405</v>
      </c>
      <c r="L262" s="5" t="s">
        <v>791</v>
      </c>
      <c r="M262" s="5" t="s">
        <v>282</v>
      </c>
      <c r="N262" s="10">
        <v>8</v>
      </c>
      <c r="O262" s="10">
        <v>2330</v>
      </c>
      <c r="P262" s="5"/>
      <c r="Q262" s="4" t="s">
        <v>353</v>
      </c>
      <c r="R262" s="4"/>
      <c r="S262" s="1">
        <f>IF(P262="",0,1)</f>
        <v>0</v>
      </c>
      <c r="T262" s="1">
        <f>IF(B262="126",1,0)</f>
        <v>0</v>
      </c>
    </row>
    <row r="263" spans="1:20" ht="21" customHeight="1" x14ac:dyDescent="0.25">
      <c r="A263" s="4" t="s">
        <v>437</v>
      </c>
      <c r="B263" s="4" t="s">
        <v>11</v>
      </c>
      <c r="C263" s="5" t="s">
        <v>23</v>
      </c>
      <c r="D263" s="5" t="s">
        <v>23</v>
      </c>
      <c r="E263" s="5" t="s">
        <v>22</v>
      </c>
      <c r="F263" s="5" t="s">
        <v>23</v>
      </c>
      <c r="G263" s="5" t="s">
        <v>22</v>
      </c>
      <c r="H263" s="5" t="s">
        <v>5</v>
      </c>
      <c r="I263" s="5" t="s">
        <v>5</v>
      </c>
      <c r="J263" s="5" t="s">
        <v>23</v>
      </c>
      <c r="K263" s="5" t="s">
        <v>792</v>
      </c>
      <c r="L263" s="5" t="s">
        <v>278</v>
      </c>
      <c r="M263" s="5" t="s">
        <v>793</v>
      </c>
      <c r="N263" s="10">
        <v>6</v>
      </c>
      <c r="O263" s="10">
        <v>1730</v>
      </c>
      <c r="P263" s="5"/>
      <c r="Q263" s="4" t="s">
        <v>353</v>
      </c>
      <c r="R263" s="4"/>
      <c r="S263" s="1">
        <f>IF(P263="",0,1)</f>
        <v>0</v>
      </c>
      <c r="T263" s="1">
        <f>IF(B263="126",1,0)</f>
        <v>0</v>
      </c>
    </row>
    <row r="264" spans="1:20" ht="21" customHeight="1" x14ac:dyDescent="0.25">
      <c r="A264" s="4" t="s">
        <v>1019</v>
      </c>
      <c r="B264" s="4" t="s">
        <v>11</v>
      </c>
      <c r="C264" s="5" t="s">
        <v>23</v>
      </c>
      <c r="D264" s="5" t="s">
        <v>23</v>
      </c>
      <c r="E264" s="5" t="s">
        <v>22</v>
      </c>
      <c r="F264" s="5" t="s">
        <v>23</v>
      </c>
      <c r="G264" s="5" t="s">
        <v>22</v>
      </c>
      <c r="H264" s="5" t="s">
        <v>5</v>
      </c>
      <c r="I264" s="5" t="s">
        <v>5</v>
      </c>
      <c r="J264" s="5" t="s">
        <v>23</v>
      </c>
      <c r="K264" s="5" t="s">
        <v>406</v>
      </c>
      <c r="L264" s="5" t="s">
        <v>794</v>
      </c>
      <c r="M264" s="5" t="s">
        <v>795</v>
      </c>
      <c r="N264" s="10">
        <v>11</v>
      </c>
      <c r="O264" s="10">
        <v>3251</v>
      </c>
      <c r="P264" s="5"/>
      <c r="Q264" s="4" t="s">
        <v>353</v>
      </c>
      <c r="R264" s="4"/>
      <c r="S264" s="1">
        <f>IF(P264="",0,1)</f>
        <v>0</v>
      </c>
      <c r="T264" s="1">
        <f>IF(B264="126",1,0)</f>
        <v>0</v>
      </c>
    </row>
    <row r="265" spans="1:20" ht="21" customHeight="1" x14ac:dyDescent="0.25">
      <c r="A265" s="4" t="s">
        <v>1020</v>
      </c>
      <c r="B265" s="4" t="s">
        <v>11</v>
      </c>
      <c r="C265" s="5" t="s">
        <v>23</v>
      </c>
      <c r="D265" s="5" t="s">
        <v>23</v>
      </c>
      <c r="E265" s="5" t="s">
        <v>22</v>
      </c>
      <c r="F265" s="5" t="s">
        <v>23</v>
      </c>
      <c r="G265" s="5" t="s">
        <v>22</v>
      </c>
      <c r="H265" s="5" t="s">
        <v>5</v>
      </c>
      <c r="I265" s="5" t="s">
        <v>5</v>
      </c>
      <c r="J265" s="5" t="s">
        <v>23</v>
      </c>
      <c r="K265" s="5" t="s">
        <v>796</v>
      </c>
      <c r="L265" s="5" t="s">
        <v>289</v>
      </c>
      <c r="M265" s="5" t="s">
        <v>797</v>
      </c>
      <c r="N265" s="10">
        <v>8</v>
      </c>
      <c r="O265" s="10">
        <v>2330</v>
      </c>
      <c r="P265" s="5"/>
      <c r="Q265" s="4" t="s">
        <v>353</v>
      </c>
      <c r="R265" s="4"/>
      <c r="S265" s="1">
        <f>IF(P265="",0,1)</f>
        <v>0</v>
      </c>
      <c r="T265" s="1">
        <f>IF(B265="126",1,0)</f>
        <v>0</v>
      </c>
    </row>
    <row r="266" spans="1:20" ht="21" customHeight="1" x14ac:dyDescent="0.25">
      <c r="A266" s="4" t="s">
        <v>1021</v>
      </c>
      <c r="B266" s="4" t="s">
        <v>11</v>
      </c>
      <c r="C266" s="5" t="s">
        <v>23</v>
      </c>
      <c r="D266" s="5" t="s">
        <v>23</v>
      </c>
      <c r="E266" s="5" t="s">
        <v>22</v>
      </c>
      <c r="F266" s="5" t="s">
        <v>23</v>
      </c>
      <c r="G266" s="5" t="s">
        <v>22</v>
      </c>
      <c r="H266" s="5" t="s">
        <v>5</v>
      </c>
      <c r="I266" s="5" t="s">
        <v>5</v>
      </c>
      <c r="J266" s="5" t="s">
        <v>23</v>
      </c>
      <c r="K266" s="5" t="s">
        <v>798</v>
      </c>
      <c r="L266" s="5" t="s">
        <v>285</v>
      </c>
      <c r="M266" s="5" t="s">
        <v>799</v>
      </c>
      <c r="N266" s="10">
        <v>8</v>
      </c>
      <c r="O266" s="10">
        <v>2330</v>
      </c>
      <c r="P266" s="5"/>
      <c r="Q266" s="4" t="s">
        <v>353</v>
      </c>
      <c r="R266" s="4"/>
      <c r="S266" s="1">
        <f>IF(P266="",0,1)</f>
        <v>0</v>
      </c>
      <c r="T266" s="1">
        <f>IF(B266="126",1,0)</f>
        <v>0</v>
      </c>
    </row>
    <row r="267" spans="1:20" ht="21" customHeight="1" x14ac:dyDescent="0.25">
      <c r="A267" s="4" t="s">
        <v>1022</v>
      </c>
      <c r="B267" s="4" t="s">
        <v>11</v>
      </c>
      <c r="C267" s="5" t="s">
        <v>23</v>
      </c>
      <c r="D267" s="5" t="s">
        <v>23</v>
      </c>
      <c r="E267" s="5" t="s">
        <v>22</v>
      </c>
      <c r="F267" s="5" t="s">
        <v>23</v>
      </c>
      <c r="G267" s="5" t="s">
        <v>22</v>
      </c>
      <c r="H267" s="5" t="s">
        <v>5</v>
      </c>
      <c r="I267" s="5" t="s">
        <v>5</v>
      </c>
      <c r="J267" s="5" t="s">
        <v>23</v>
      </c>
      <c r="K267" s="5" t="s">
        <v>800</v>
      </c>
      <c r="L267" s="5" t="s">
        <v>801</v>
      </c>
      <c r="M267" s="5" t="s">
        <v>802</v>
      </c>
      <c r="N267" s="10">
        <v>5</v>
      </c>
      <c r="O267" s="10">
        <v>1430</v>
      </c>
      <c r="P267" s="5"/>
      <c r="Q267" s="4" t="s">
        <v>353</v>
      </c>
      <c r="R267" s="4"/>
      <c r="S267" s="1">
        <f>IF(P267="",0,1)</f>
        <v>0</v>
      </c>
      <c r="T267" s="1">
        <f>IF(B267="126",1,0)</f>
        <v>0</v>
      </c>
    </row>
    <row r="268" spans="1:20" ht="21" customHeight="1" x14ac:dyDescent="0.25">
      <c r="A268" s="4" t="s">
        <v>1023</v>
      </c>
      <c r="B268" s="4" t="s">
        <v>11</v>
      </c>
      <c r="C268" s="5" t="s">
        <v>23</v>
      </c>
      <c r="D268" s="5" t="s">
        <v>23</v>
      </c>
      <c r="E268" s="5" t="s">
        <v>22</v>
      </c>
      <c r="F268" s="5" t="s">
        <v>23</v>
      </c>
      <c r="G268" s="5" t="s">
        <v>22</v>
      </c>
      <c r="H268" s="5" t="s">
        <v>5</v>
      </c>
      <c r="I268" s="5" t="s">
        <v>5</v>
      </c>
      <c r="J268" s="5" t="s">
        <v>23</v>
      </c>
      <c r="K268" s="5" t="s">
        <v>803</v>
      </c>
      <c r="L268" s="5" t="s">
        <v>804</v>
      </c>
      <c r="M268" s="5" t="s">
        <v>805</v>
      </c>
      <c r="N268" s="10">
        <v>12</v>
      </c>
      <c r="O268" s="10">
        <v>3596</v>
      </c>
      <c r="P268" s="5"/>
      <c r="Q268" s="4" t="s">
        <v>353</v>
      </c>
      <c r="R268" s="4"/>
      <c r="S268" s="1">
        <f>IF(P268="",0,1)</f>
        <v>0</v>
      </c>
      <c r="T268" s="1">
        <f>IF(B268="126",1,0)</f>
        <v>0</v>
      </c>
    </row>
    <row r="269" spans="1:20" ht="21" customHeight="1" x14ac:dyDescent="0.25">
      <c r="A269" s="4" t="s">
        <v>1024</v>
      </c>
      <c r="B269" s="4" t="s">
        <v>11</v>
      </c>
      <c r="C269" s="5" t="s">
        <v>23</v>
      </c>
      <c r="D269" s="5" t="s">
        <v>23</v>
      </c>
      <c r="E269" s="5" t="s">
        <v>22</v>
      </c>
      <c r="F269" s="5" t="s">
        <v>23</v>
      </c>
      <c r="G269" s="5" t="s">
        <v>22</v>
      </c>
      <c r="H269" s="5" t="s">
        <v>5</v>
      </c>
      <c r="I269" s="5" t="s">
        <v>5</v>
      </c>
      <c r="J269" s="5" t="s">
        <v>23</v>
      </c>
      <c r="K269" s="5" t="s">
        <v>806</v>
      </c>
      <c r="L269" s="5" t="s">
        <v>807</v>
      </c>
      <c r="M269" s="5" t="s">
        <v>808</v>
      </c>
      <c r="N269" s="10">
        <v>7</v>
      </c>
      <c r="O269" s="10">
        <v>2030</v>
      </c>
      <c r="P269" s="5"/>
      <c r="Q269" s="4" t="s">
        <v>353</v>
      </c>
      <c r="R269" s="4"/>
      <c r="S269" s="1">
        <f>IF(P269="",0,1)</f>
        <v>0</v>
      </c>
      <c r="T269" s="1">
        <f>IF(B269="126",1,0)</f>
        <v>0</v>
      </c>
    </row>
    <row r="270" spans="1:20" ht="21" customHeight="1" x14ac:dyDescent="0.25">
      <c r="A270" s="4" t="s">
        <v>1025</v>
      </c>
      <c r="B270" s="4" t="s">
        <v>11</v>
      </c>
      <c r="C270" s="5" t="s">
        <v>23</v>
      </c>
      <c r="D270" s="5" t="s">
        <v>23</v>
      </c>
      <c r="E270" s="5" t="s">
        <v>22</v>
      </c>
      <c r="F270" s="5" t="s">
        <v>23</v>
      </c>
      <c r="G270" s="5" t="s">
        <v>22</v>
      </c>
      <c r="H270" s="5" t="s">
        <v>5</v>
      </c>
      <c r="I270" s="5" t="s">
        <v>5</v>
      </c>
      <c r="J270" s="5" t="s">
        <v>23</v>
      </c>
      <c r="K270" s="5" t="s">
        <v>809</v>
      </c>
      <c r="L270" s="5" t="s">
        <v>810</v>
      </c>
      <c r="M270" s="5" t="s">
        <v>811</v>
      </c>
      <c r="N270" s="10">
        <v>10</v>
      </c>
      <c r="O270" s="10">
        <v>2930</v>
      </c>
      <c r="P270" s="5"/>
      <c r="Q270" s="4" t="s">
        <v>353</v>
      </c>
      <c r="R270" s="4"/>
      <c r="S270" s="1">
        <f>IF(P270="",0,1)</f>
        <v>0</v>
      </c>
      <c r="T270" s="1">
        <f>IF(B270="126",1,0)</f>
        <v>0</v>
      </c>
    </row>
    <row r="271" spans="1:20" ht="21" customHeight="1" x14ac:dyDescent="0.25">
      <c r="A271" s="4" t="s">
        <v>436</v>
      </c>
      <c r="B271" s="4" t="s">
        <v>11</v>
      </c>
      <c r="C271" s="5" t="s">
        <v>23</v>
      </c>
      <c r="D271" s="5" t="s">
        <v>23</v>
      </c>
      <c r="E271" s="5" t="s">
        <v>22</v>
      </c>
      <c r="F271" s="5" t="s">
        <v>23</v>
      </c>
      <c r="G271" s="5" t="s">
        <v>22</v>
      </c>
      <c r="H271" s="5" t="s">
        <v>5</v>
      </c>
      <c r="I271" s="5" t="s">
        <v>5</v>
      </c>
      <c r="J271" s="5" t="s">
        <v>23</v>
      </c>
      <c r="K271" s="5" t="s">
        <v>812</v>
      </c>
      <c r="L271" s="5" t="s">
        <v>813</v>
      </c>
      <c r="M271" s="5" t="s">
        <v>814</v>
      </c>
      <c r="N271" s="10">
        <v>5</v>
      </c>
      <c r="O271" s="10">
        <v>1430</v>
      </c>
      <c r="P271" s="5"/>
      <c r="Q271" s="4" t="s">
        <v>353</v>
      </c>
      <c r="R271" s="4"/>
      <c r="S271" s="1">
        <f>IF(P271="",0,1)</f>
        <v>0</v>
      </c>
      <c r="T271" s="1">
        <f>IF(B271="126",1,0)</f>
        <v>0</v>
      </c>
    </row>
    <row r="272" spans="1:20" ht="21" customHeight="1" x14ac:dyDescent="0.25">
      <c r="A272" s="4" t="s">
        <v>1026</v>
      </c>
      <c r="B272" s="4" t="s">
        <v>11</v>
      </c>
      <c r="C272" s="5" t="s">
        <v>23</v>
      </c>
      <c r="D272" s="5" t="s">
        <v>23</v>
      </c>
      <c r="E272" s="5" t="s">
        <v>22</v>
      </c>
      <c r="F272" s="5" t="s">
        <v>23</v>
      </c>
      <c r="G272" s="5" t="s">
        <v>22</v>
      </c>
      <c r="H272" s="5" t="s">
        <v>5</v>
      </c>
      <c r="I272" s="5" t="s">
        <v>5</v>
      </c>
      <c r="J272" s="5" t="s">
        <v>23</v>
      </c>
      <c r="K272" s="5" t="s">
        <v>265</v>
      </c>
      <c r="L272" s="5" t="s">
        <v>815</v>
      </c>
      <c r="M272" s="5" t="s">
        <v>407</v>
      </c>
      <c r="N272" s="10">
        <v>4</v>
      </c>
      <c r="O272" s="10">
        <v>1185</v>
      </c>
      <c r="P272" s="5"/>
      <c r="Q272" s="4" t="s">
        <v>353</v>
      </c>
      <c r="R272" s="4"/>
      <c r="S272" s="1">
        <f>IF(P272="",0,1)</f>
        <v>0</v>
      </c>
      <c r="T272" s="1">
        <f>IF(B272="126",1,0)</f>
        <v>0</v>
      </c>
    </row>
    <row r="273" spans="1:20" ht="21" customHeight="1" x14ac:dyDescent="0.25">
      <c r="A273" s="4" t="s">
        <v>1027</v>
      </c>
      <c r="B273" s="4" t="s">
        <v>11</v>
      </c>
      <c r="C273" s="5" t="s">
        <v>23</v>
      </c>
      <c r="D273" s="5" t="s">
        <v>23</v>
      </c>
      <c r="E273" s="5" t="s">
        <v>22</v>
      </c>
      <c r="F273" s="5" t="s">
        <v>23</v>
      </c>
      <c r="G273" s="5" t="s">
        <v>22</v>
      </c>
      <c r="H273" s="5" t="s">
        <v>5</v>
      </c>
      <c r="I273" s="5" t="s">
        <v>5</v>
      </c>
      <c r="J273" s="5" t="s">
        <v>23</v>
      </c>
      <c r="K273" s="5" t="s">
        <v>816</v>
      </c>
      <c r="L273" s="5" t="s">
        <v>817</v>
      </c>
      <c r="M273" s="5" t="s">
        <v>818</v>
      </c>
      <c r="N273" s="10">
        <v>3</v>
      </c>
      <c r="O273" s="10">
        <v>890</v>
      </c>
      <c r="P273" s="5"/>
      <c r="Q273" s="4" t="s">
        <v>353</v>
      </c>
      <c r="R273" s="4"/>
      <c r="S273" s="1">
        <f>IF(P273="",0,1)</f>
        <v>0</v>
      </c>
      <c r="T273" s="1">
        <f>IF(B273="126",1,0)</f>
        <v>0</v>
      </c>
    </row>
    <row r="274" spans="1:20" ht="21" customHeight="1" x14ac:dyDescent="0.25">
      <c r="A274" s="4" t="s">
        <v>272</v>
      </c>
      <c r="B274" s="4" t="s">
        <v>11</v>
      </c>
      <c r="C274" s="5" t="s">
        <v>23</v>
      </c>
      <c r="D274" s="5" t="s">
        <v>23</v>
      </c>
      <c r="E274" s="5" t="s">
        <v>22</v>
      </c>
      <c r="F274" s="5" t="s">
        <v>23</v>
      </c>
      <c r="G274" s="5" t="s">
        <v>22</v>
      </c>
      <c r="H274" s="5" t="s">
        <v>5</v>
      </c>
      <c r="I274" s="5" t="s">
        <v>5</v>
      </c>
      <c r="J274" s="5" t="s">
        <v>23</v>
      </c>
      <c r="K274" s="5" t="s">
        <v>819</v>
      </c>
      <c r="L274" s="5" t="s">
        <v>820</v>
      </c>
      <c r="M274" s="5" t="s">
        <v>821</v>
      </c>
      <c r="N274" s="10">
        <v>2</v>
      </c>
      <c r="O274" s="10">
        <v>587</v>
      </c>
      <c r="P274" s="5"/>
      <c r="Q274" s="4" t="s">
        <v>353</v>
      </c>
      <c r="R274" s="4"/>
      <c r="S274" s="1">
        <f>IF(P274="",0,1)</f>
        <v>0</v>
      </c>
      <c r="T274" s="1">
        <f>IF(B274="126",1,0)</f>
        <v>0</v>
      </c>
    </row>
    <row r="275" spans="1:20" ht="7.5" customHeight="1" thickBot="1" x14ac:dyDescent="0.3"/>
    <row r="276" spans="1:20" ht="21.75" customHeight="1" thickBot="1" x14ac:dyDescent="0.3">
      <c r="A276" s="18" t="s">
        <v>290</v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7">
        <f>SUM(N10:N274)</f>
        <v>2898</v>
      </c>
      <c r="O276" s="7">
        <f>SUM(O10:O274)</f>
        <v>858968</v>
      </c>
      <c r="P276" s="6"/>
      <c r="Q276" s="8"/>
      <c r="R276" s="9"/>
      <c r="S276" s="3">
        <f>SUM(S10:S274)</f>
        <v>0</v>
      </c>
    </row>
    <row r="277" spans="1:20" ht="17.25" customHeight="1" x14ac:dyDescent="0.25">
      <c r="A277" s="1" t="s">
        <v>291</v>
      </c>
    </row>
    <row r="280" spans="1:20" x14ac:dyDescent="0.25">
      <c r="N280" s="11"/>
      <c r="O280" s="11"/>
    </row>
    <row r="282" spans="1:20" x14ac:dyDescent="0.25">
      <c r="N282" s="11"/>
    </row>
    <row r="285" spans="1:20" x14ac:dyDescent="0.25">
      <c r="N285" s="11"/>
    </row>
  </sheetData>
  <autoFilter ref="A9:T274" xr:uid="{00000000-0001-0000-0400-000000000000}">
    <sortState xmlns:xlrd2="http://schemas.microsoft.com/office/spreadsheetml/2017/richdata2" ref="A10:T274">
      <sortCondition ref="I9:I274"/>
    </sortState>
  </autoFilter>
  <mergeCells count="3">
    <mergeCell ref="A276:M276"/>
    <mergeCell ref="A7:R7"/>
    <mergeCell ref="A6:R6"/>
  </mergeCells>
  <phoneticPr fontId="8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2026-05-21T19:05:18Z</dcterms:modified>
</cp:coreProperties>
</file>